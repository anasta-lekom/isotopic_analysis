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доманик\диплом\"/>
    </mc:Choice>
  </mc:AlternateContent>
  <xr:revisionPtr revIDLastSave="0" documentId="13_ncr:1_{CA854EDD-EA71-4372-BD37-2748BC30B0C0}" xr6:coauthVersionLast="47" xr6:coauthVersionMax="47" xr10:uidLastSave="{00000000-0000-0000-0000-000000000000}"/>
  <bookViews>
    <workbookView xWindow="-108" yWindow="-108" windowWidth="23256" windowHeight="12576" xr2:uid="{C6C00B02-247E-4DCC-9575-328375DDC71A}"/>
  </bookViews>
  <sheets>
    <sheet name="Data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3" i="2" l="1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9" i="2"/>
  <c r="R210" i="2"/>
  <c r="R211" i="2"/>
  <c r="R212" i="2"/>
  <c r="R213" i="2"/>
  <c r="R214" i="2"/>
  <c r="R215" i="2"/>
  <c r="R216" i="2"/>
  <c r="R217" i="2"/>
  <c r="R218" i="2"/>
  <c r="R220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442" i="2"/>
  <c r="R443" i="2"/>
  <c r="R444" i="2"/>
  <c r="R445" i="2"/>
  <c r="R446" i="2"/>
  <c r="R447" i="2"/>
  <c r="R448" i="2"/>
  <c r="R449" i="2"/>
  <c r="R450" i="2"/>
  <c r="R451" i="2"/>
  <c r="R452" i="2"/>
  <c r="R453" i="2"/>
  <c r="R454" i="2"/>
  <c r="R455" i="2"/>
  <c r="R456" i="2"/>
  <c r="R457" i="2"/>
  <c r="R458" i="2"/>
  <c r="R459" i="2"/>
  <c r="R460" i="2"/>
  <c r="R461" i="2"/>
  <c r="R462" i="2"/>
  <c r="R463" i="2"/>
  <c r="R464" i="2"/>
  <c r="R465" i="2"/>
  <c r="R466" i="2"/>
  <c r="R467" i="2"/>
  <c r="R468" i="2"/>
  <c r="R469" i="2"/>
  <c r="R470" i="2"/>
  <c r="R471" i="2"/>
  <c r="R472" i="2"/>
  <c r="R473" i="2"/>
  <c r="R474" i="2"/>
  <c r="R475" i="2"/>
  <c r="R476" i="2"/>
  <c r="R477" i="2"/>
  <c r="R478" i="2"/>
  <c r="R479" i="2"/>
  <c r="R480" i="2"/>
  <c r="R481" i="2"/>
  <c r="R482" i="2"/>
  <c r="R483" i="2"/>
  <c r="R484" i="2"/>
  <c r="R485" i="2"/>
  <c r="R486" i="2"/>
  <c r="R487" i="2"/>
  <c r="R488" i="2"/>
  <c r="R489" i="2"/>
  <c r="R490" i="2"/>
  <c r="R491" i="2"/>
  <c r="R492" i="2"/>
  <c r="R493" i="2"/>
  <c r="R494" i="2"/>
  <c r="R495" i="2"/>
  <c r="R496" i="2"/>
  <c r="R497" i="2"/>
  <c r="R498" i="2"/>
  <c r="R499" i="2"/>
  <c r="R500" i="2"/>
  <c r="R501" i="2"/>
  <c r="R502" i="2"/>
  <c r="R503" i="2"/>
  <c r="R504" i="2"/>
  <c r="R505" i="2"/>
  <c r="R506" i="2"/>
  <c r="R507" i="2"/>
  <c r="R508" i="2"/>
  <c r="R50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R543" i="2"/>
  <c r="R544" i="2"/>
  <c r="R545" i="2"/>
  <c r="R546" i="2"/>
  <c r="R547" i="2"/>
  <c r="R548" i="2"/>
  <c r="R549" i="2"/>
  <c r="R550" i="2"/>
  <c r="R551" i="2"/>
  <c r="R552" i="2"/>
  <c r="R553" i="2"/>
  <c r="R554" i="2"/>
  <c r="R555" i="2"/>
  <c r="R556" i="2"/>
  <c r="R557" i="2"/>
  <c r="R558" i="2"/>
  <c r="R559" i="2"/>
  <c r="R560" i="2"/>
  <c r="R561" i="2"/>
  <c r="R562" i="2"/>
  <c r="R563" i="2"/>
  <c r="R564" i="2"/>
  <c r="R565" i="2"/>
  <c r="R566" i="2"/>
  <c r="R567" i="2"/>
  <c r="R568" i="2"/>
  <c r="R569" i="2"/>
  <c r="R570" i="2"/>
  <c r="R571" i="2"/>
  <c r="R572" i="2"/>
  <c r="R573" i="2"/>
  <c r="R574" i="2"/>
  <c r="R575" i="2"/>
  <c r="R576" i="2"/>
  <c r="R577" i="2"/>
  <c r="R578" i="2"/>
  <c r="R579" i="2"/>
  <c r="R580" i="2"/>
  <c r="R581" i="2"/>
  <c r="R582" i="2"/>
  <c r="R583" i="2"/>
  <c r="R584" i="2"/>
  <c r="R585" i="2"/>
  <c r="R586" i="2"/>
  <c r="R587" i="2"/>
  <c r="R588" i="2"/>
  <c r="R589" i="2"/>
  <c r="R590" i="2"/>
  <c r="R591" i="2"/>
  <c r="R592" i="2"/>
  <c r="R593" i="2"/>
  <c r="R594" i="2"/>
  <c r="R595" i="2"/>
  <c r="R596" i="2"/>
  <c r="R597" i="2"/>
  <c r="R598" i="2"/>
  <c r="R599" i="2"/>
  <c r="R600" i="2"/>
  <c r="R601" i="2"/>
  <c r="R602" i="2"/>
  <c r="R603" i="2"/>
  <c r="R604" i="2"/>
  <c r="R605" i="2"/>
  <c r="R606" i="2"/>
  <c r="R607" i="2"/>
  <c r="R608" i="2"/>
  <c r="R609" i="2"/>
  <c r="R610" i="2"/>
  <c r="R611" i="2"/>
  <c r="R612" i="2"/>
  <c r="R613" i="2"/>
  <c r="R614" i="2"/>
  <c r="R615" i="2"/>
  <c r="R616" i="2"/>
  <c r="R617" i="2"/>
  <c r="R618" i="2"/>
  <c r="R619" i="2"/>
  <c r="R620" i="2"/>
  <c r="R621" i="2"/>
  <c r="R622" i="2"/>
  <c r="R623" i="2"/>
  <c r="R624" i="2"/>
  <c r="R625" i="2"/>
  <c r="R626" i="2"/>
  <c r="R627" i="2"/>
  <c r="R628" i="2"/>
  <c r="R629" i="2"/>
  <c r="R630" i="2"/>
  <c r="R631" i="2"/>
  <c r="R632" i="2"/>
  <c r="R633" i="2"/>
  <c r="R634" i="2"/>
  <c r="R635" i="2"/>
  <c r="R636" i="2"/>
  <c r="R637" i="2"/>
  <c r="R638" i="2"/>
  <c r="R639" i="2"/>
  <c r="R640" i="2"/>
  <c r="R641" i="2"/>
  <c r="R642" i="2"/>
  <c r="R643" i="2"/>
  <c r="R644" i="2"/>
  <c r="R645" i="2"/>
  <c r="R646" i="2"/>
  <c r="R647" i="2"/>
  <c r="R648" i="2"/>
  <c r="R649" i="2"/>
  <c r="R650" i="2"/>
  <c r="R651" i="2"/>
  <c r="R652" i="2"/>
  <c r="R653" i="2"/>
  <c r="R654" i="2"/>
  <c r="R655" i="2"/>
  <c r="R656" i="2"/>
  <c r="R657" i="2"/>
  <c r="R658" i="2"/>
  <c r="R659" i="2"/>
  <c r="R660" i="2"/>
  <c r="R661" i="2"/>
  <c r="R662" i="2"/>
  <c r="R663" i="2"/>
  <c r="R664" i="2"/>
  <c r="R665" i="2"/>
  <c r="R666" i="2"/>
  <c r="R667" i="2"/>
  <c r="R668" i="2"/>
  <c r="R669" i="2"/>
  <c r="R670" i="2"/>
  <c r="R671" i="2"/>
  <c r="R672" i="2"/>
  <c r="R673" i="2"/>
  <c r="R674" i="2"/>
  <c r="R675" i="2"/>
  <c r="R676" i="2"/>
  <c r="R677" i="2"/>
  <c r="R678" i="2"/>
  <c r="R679" i="2"/>
  <c r="R680" i="2"/>
  <c r="R681" i="2"/>
  <c r="R682" i="2"/>
  <c r="R683" i="2"/>
  <c r="R684" i="2"/>
  <c r="R685" i="2"/>
  <c r="R686" i="2"/>
  <c r="R687" i="2"/>
  <c r="R688" i="2"/>
  <c r="R689" i="2"/>
  <c r="R690" i="2"/>
  <c r="R691" i="2"/>
  <c r="R692" i="2"/>
  <c r="R693" i="2"/>
  <c r="R694" i="2"/>
  <c r="R695" i="2"/>
  <c r="R696" i="2"/>
  <c r="R697" i="2"/>
  <c r="R698" i="2"/>
  <c r="R699" i="2"/>
  <c r="R700" i="2"/>
  <c r="R701" i="2"/>
  <c r="R702" i="2"/>
  <c r="R703" i="2"/>
  <c r="R704" i="2"/>
  <c r="R705" i="2"/>
  <c r="R706" i="2"/>
  <c r="R707" i="2"/>
  <c r="R708" i="2"/>
  <c r="R709" i="2"/>
  <c r="R710" i="2"/>
  <c r="R711" i="2"/>
  <c r="R712" i="2"/>
  <c r="R713" i="2"/>
  <c r="R714" i="2"/>
  <c r="R715" i="2"/>
  <c r="R716" i="2"/>
  <c r="R717" i="2"/>
  <c r="R718" i="2"/>
  <c r="R719" i="2"/>
  <c r="R720" i="2"/>
  <c r="R721" i="2"/>
  <c r="R722" i="2"/>
  <c r="R723" i="2"/>
  <c r="R724" i="2"/>
  <c r="R725" i="2"/>
  <c r="R726" i="2"/>
  <c r="R727" i="2"/>
  <c r="R728" i="2"/>
  <c r="R729" i="2"/>
  <c r="R730" i="2"/>
  <c r="R731" i="2"/>
  <c r="R732" i="2"/>
  <c r="R733" i="2"/>
  <c r="R734" i="2"/>
  <c r="R735" i="2"/>
  <c r="R736" i="2"/>
  <c r="R737" i="2"/>
  <c r="R738" i="2"/>
  <c r="R739" i="2"/>
  <c r="R740" i="2"/>
  <c r="R741" i="2"/>
  <c r="R742" i="2"/>
  <c r="R743" i="2"/>
  <c r="R744" i="2"/>
  <c r="R745" i="2"/>
  <c r="R746" i="2"/>
  <c r="R747" i="2"/>
  <c r="R748" i="2"/>
  <c r="R749" i="2"/>
  <c r="R750" i="2"/>
  <c r="R751" i="2"/>
  <c r="R752" i="2"/>
  <c r="R753" i="2"/>
  <c r="R754" i="2"/>
  <c r="R755" i="2"/>
  <c r="R756" i="2"/>
  <c r="R757" i="2"/>
  <c r="R758" i="2"/>
  <c r="R759" i="2"/>
  <c r="R760" i="2"/>
  <c r="R761" i="2"/>
  <c r="R762" i="2"/>
  <c r="R763" i="2"/>
  <c r="R764" i="2"/>
  <c r="R765" i="2"/>
  <c r="R766" i="2"/>
  <c r="R767" i="2"/>
  <c r="R768" i="2"/>
  <c r="R769" i="2"/>
  <c r="R770" i="2"/>
  <c r="R771" i="2"/>
  <c r="R772" i="2"/>
  <c r="R773" i="2"/>
  <c r="R774" i="2"/>
  <c r="R775" i="2"/>
  <c r="R776" i="2"/>
  <c r="R777" i="2"/>
  <c r="R778" i="2"/>
  <c r="R779" i="2"/>
  <c r="R780" i="2"/>
  <c r="R781" i="2"/>
  <c r="R782" i="2"/>
  <c r="R783" i="2"/>
  <c r="R784" i="2"/>
  <c r="R785" i="2"/>
  <c r="R786" i="2"/>
  <c r="R787" i="2"/>
  <c r="R788" i="2"/>
  <c r="R789" i="2"/>
  <c r="R790" i="2"/>
  <c r="R791" i="2"/>
  <c r="R792" i="2"/>
  <c r="R793" i="2"/>
  <c r="R794" i="2"/>
  <c r="R795" i="2"/>
  <c r="R796" i="2"/>
  <c r="R797" i="2"/>
  <c r="R798" i="2"/>
  <c r="R799" i="2"/>
  <c r="R800" i="2"/>
  <c r="R801" i="2"/>
  <c r="R802" i="2"/>
  <c r="R803" i="2"/>
  <c r="R804" i="2"/>
  <c r="R805" i="2"/>
  <c r="R806" i="2"/>
  <c r="R807" i="2"/>
  <c r="R808" i="2"/>
  <c r="R809" i="2"/>
  <c r="R810" i="2"/>
  <c r="R811" i="2"/>
  <c r="R812" i="2"/>
  <c r="R813" i="2"/>
  <c r="R814" i="2"/>
  <c r="R815" i="2"/>
  <c r="R816" i="2"/>
  <c r="R817" i="2"/>
  <c r="R818" i="2"/>
  <c r="R819" i="2"/>
  <c r="R820" i="2"/>
  <c r="R821" i="2"/>
  <c r="R822" i="2"/>
  <c r="R823" i="2"/>
  <c r="R824" i="2"/>
  <c r="R825" i="2"/>
  <c r="R826" i="2"/>
  <c r="R827" i="2"/>
  <c r="R828" i="2"/>
  <c r="R829" i="2"/>
  <c r="R830" i="2"/>
  <c r="R831" i="2"/>
  <c r="R832" i="2"/>
  <c r="R833" i="2"/>
  <c r="R834" i="2"/>
  <c r="R2" i="2"/>
  <c r="Q108" i="2"/>
  <c r="Q111" i="2"/>
  <c r="Q112" i="2"/>
  <c r="Q115" i="2"/>
  <c r="Q116" i="2"/>
  <c r="Q120" i="2"/>
  <c r="Q123" i="2"/>
  <c r="Q125" i="2"/>
  <c r="Q126" i="2"/>
  <c r="Q127" i="2"/>
  <c r="Q129" i="2"/>
  <c r="Q130" i="2"/>
  <c r="Q173" i="2"/>
  <c r="Q181" i="2"/>
  <c r="Q209" i="2"/>
  <c r="Q210" i="2"/>
  <c r="Q211" i="2"/>
  <c r="Q212" i="2"/>
  <c r="Q213" i="2"/>
  <c r="Q214" i="2"/>
  <c r="Q215" i="2"/>
  <c r="Q216" i="2"/>
  <c r="Q217" i="2"/>
  <c r="Q218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3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501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9" i="2"/>
  <c r="Q530" i="2"/>
  <c r="Q531" i="2"/>
  <c r="Q532" i="2"/>
  <c r="Q533" i="2"/>
  <c r="Q534" i="2"/>
  <c r="Q535" i="2"/>
  <c r="Q536" i="2"/>
  <c r="Q537" i="2"/>
  <c r="Q538" i="2"/>
  <c r="Q565" i="2"/>
  <c r="Q567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667" i="2"/>
  <c r="Q668" i="2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Q692" i="2"/>
  <c r="Q693" i="2"/>
  <c r="Q694" i="2"/>
  <c r="Q695" i="2"/>
  <c r="Q696" i="2"/>
  <c r="Q697" i="2"/>
  <c r="Q698" i="2"/>
  <c r="Q699" i="2"/>
  <c r="Q700" i="2"/>
  <c r="Q701" i="2"/>
  <c r="Q703" i="2"/>
  <c r="Q704" i="2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Q721" i="2"/>
  <c r="Q722" i="2"/>
  <c r="Q723" i="2"/>
  <c r="Q724" i="2"/>
  <c r="Q725" i="2"/>
  <c r="Q726" i="2"/>
  <c r="Q727" i="2"/>
  <c r="Q728" i="2"/>
  <c r="Q730" i="2"/>
  <c r="Q731" i="2"/>
  <c r="Q732" i="2"/>
  <c r="Q733" i="2"/>
  <c r="Q734" i="2"/>
  <c r="Q735" i="2"/>
  <c r="Q736" i="2"/>
  <c r="Q737" i="2"/>
  <c r="Q738" i="2"/>
  <c r="Q739" i="2"/>
  <c r="Q740" i="2"/>
  <c r="Q741" i="2"/>
  <c r="Q742" i="2"/>
  <c r="Q743" i="2"/>
  <c r="Q744" i="2"/>
  <c r="Q745" i="2"/>
  <c r="Q746" i="2"/>
  <c r="Q747" i="2"/>
  <c r="Q748" i="2"/>
  <c r="Q749" i="2"/>
  <c r="Q750" i="2"/>
  <c r="Q751" i="2"/>
  <c r="Q752" i="2"/>
  <c r="Q753" i="2"/>
  <c r="Q754" i="2"/>
  <c r="Q755" i="2"/>
  <c r="Q756" i="2"/>
  <c r="Q757" i="2"/>
  <c r="Q758" i="2"/>
  <c r="Q759" i="2"/>
  <c r="Q760" i="2"/>
  <c r="Q761" i="2"/>
  <c r="Q762" i="2"/>
  <c r="Q763" i="2"/>
  <c r="Q764" i="2"/>
  <c r="Q765" i="2"/>
  <c r="Q766" i="2"/>
  <c r="Q767" i="2"/>
  <c r="Q768" i="2"/>
  <c r="Q769" i="2"/>
  <c r="Q770" i="2"/>
  <c r="Q771" i="2"/>
  <c r="Q772" i="2"/>
  <c r="Q773" i="2"/>
  <c r="Q774" i="2"/>
  <c r="Q775" i="2"/>
  <c r="Q776" i="2"/>
  <c r="Q777" i="2"/>
  <c r="Q778" i="2"/>
  <c r="Q779" i="2"/>
  <c r="Q780" i="2"/>
  <c r="Q781" i="2"/>
  <c r="Q782" i="2"/>
  <c r="Q783" i="2"/>
  <c r="Q784" i="2"/>
  <c r="Q785" i="2"/>
  <c r="Q786" i="2"/>
  <c r="Q787" i="2"/>
  <c r="Q788" i="2"/>
  <c r="Q789" i="2"/>
  <c r="Q790" i="2"/>
  <c r="Q791" i="2"/>
  <c r="Q792" i="2"/>
  <c r="Q793" i="2"/>
  <c r="Q794" i="2"/>
  <c r="Q795" i="2"/>
  <c r="Q796" i="2"/>
  <c r="Q797" i="2"/>
  <c r="Q798" i="2"/>
  <c r="Q799" i="2"/>
  <c r="Q800" i="2"/>
  <c r="Q801" i="2"/>
  <c r="Q802" i="2"/>
  <c r="Q803" i="2"/>
  <c r="Q804" i="2"/>
  <c r="Q805" i="2"/>
  <c r="Q806" i="2"/>
  <c r="Q808" i="2"/>
  <c r="Q809" i="2"/>
  <c r="Q810" i="2"/>
  <c r="Q811" i="2"/>
  <c r="Q813" i="2"/>
  <c r="Q814" i="2"/>
  <c r="Q816" i="2"/>
  <c r="Q817" i="2"/>
  <c r="Q818" i="2"/>
  <c r="Q819" i="2"/>
  <c r="Q820" i="2"/>
  <c r="Q822" i="2"/>
  <c r="Q824" i="2"/>
  <c r="Q825" i="2"/>
  <c r="Q826" i="2"/>
  <c r="Q827" i="2"/>
  <c r="Q828" i="2"/>
  <c r="Q829" i="2"/>
  <c r="Q830" i="2"/>
  <c r="Q831" i="2"/>
  <c r="Q833" i="2"/>
  <c r="Q834" i="2"/>
  <c r="P46" i="2"/>
  <c r="P78" i="2"/>
  <c r="P108" i="2"/>
  <c r="P111" i="2"/>
  <c r="P112" i="2"/>
  <c r="P115" i="2"/>
  <c r="P116" i="2"/>
  <c r="P120" i="2"/>
  <c r="P123" i="2"/>
  <c r="P125" i="2"/>
  <c r="P126" i="2"/>
  <c r="P127" i="2"/>
  <c r="P129" i="2"/>
  <c r="P130" i="2"/>
  <c r="P190" i="2"/>
  <c r="P209" i="2"/>
  <c r="P210" i="2"/>
  <c r="P211" i="2"/>
  <c r="P212" i="2"/>
  <c r="P213" i="2"/>
  <c r="P214" i="2"/>
  <c r="P215" i="2"/>
  <c r="P216" i="2"/>
  <c r="P217" i="2"/>
  <c r="P218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9" i="2"/>
  <c r="P530" i="2"/>
  <c r="P531" i="2"/>
  <c r="P532" i="2"/>
  <c r="P533" i="2"/>
  <c r="P534" i="2"/>
  <c r="P535" i="2"/>
  <c r="P536" i="2"/>
  <c r="P537" i="2"/>
  <c r="P538" i="2"/>
  <c r="P539" i="2"/>
  <c r="P565" i="2"/>
  <c r="P567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8" i="2"/>
  <c r="P809" i="2"/>
  <c r="P810" i="2"/>
  <c r="P811" i="2"/>
  <c r="P813" i="2"/>
  <c r="P814" i="2"/>
  <c r="P816" i="2"/>
  <c r="P817" i="2"/>
  <c r="P818" i="2"/>
  <c r="P819" i="2"/>
  <c r="P820" i="2"/>
  <c r="P822" i="2"/>
  <c r="P824" i="2"/>
  <c r="P825" i="2"/>
  <c r="P826" i="2"/>
  <c r="P827" i="2"/>
  <c r="P828" i="2"/>
  <c r="P829" i="2"/>
  <c r="P830" i="2"/>
  <c r="P831" i="2"/>
  <c r="P833" i="2"/>
  <c r="P834" i="2"/>
  <c r="D2" i="2"/>
  <c r="Q2" i="2" s="1"/>
  <c r="D3" i="2"/>
  <c r="Q3" i="2" s="1"/>
  <c r="D4" i="2"/>
  <c r="K4" i="2" s="1"/>
  <c r="D5" i="2"/>
  <c r="Q5" i="2" s="1"/>
  <c r="D6" i="2"/>
  <c r="P6" i="2" s="1"/>
  <c r="D7" i="2"/>
  <c r="Q7" i="2" s="1"/>
  <c r="D8" i="2"/>
  <c r="K8" i="2" s="1"/>
  <c r="D9" i="2"/>
  <c r="Q9" i="2" s="1"/>
  <c r="D10" i="2"/>
  <c r="Q10" i="2" s="1"/>
  <c r="D11" i="2"/>
  <c r="Q11" i="2" s="1"/>
  <c r="D12" i="2"/>
  <c r="Q12" i="2" s="1"/>
  <c r="D13" i="2"/>
  <c r="Q13" i="2" s="1"/>
  <c r="D14" i="2"/>
  <c r="Q14" i="2" s="1"/>
  <c r="D15" i="2"/>
  <c r="Q15" i="2" s="1"/>
  <c r="D16" i="2"/>
  <c r="Q16" i="2" s="1"/>
  <c r="D17" i="2"/>
  <c r="K17" i="2" s="1"/>
  <c r="D18" i="2"/>
  <c r="Q18" i="2" s="1"/>
  <c r="D19" i="2"/>
  <c r="Q19" i="2" s="1"/>
  <c r="D20" i="2"/>
  <c r="Q20" i="2" s="1"/>
  <c r="D21" i="2"/>
  <c r="Q21" i="2" s="1"/>
  <c r="D22" i="2"/>
  <c r="Q22" i="2" s="1"/>
  <c r="D23" i="2"/>
  <c r="Q23" i="2" s="1"/>
  <c r="D24" i="2"/>
  <c r="Q24" i="2" s="1"/>
  <c r="D25" i="2"/>
  <c r="K25" i="2" s="1"/>
  <c r="D26" i="2"/>
  <c r="Q26" i="2" s="1"/>
  <c r="D27" i="2"/>
  <c r="Q27" i="2" s="1"/>
  <c r="D28" i="2"/>
  <c r="Q28" i="2" s="1"/>
  <c r="D29" i="2"/>
  <c r="Q29" i="2" s="1"/>
  <c r="D30" i="2"/>
  <c r="Q30" i="2" s="1"/>
  <c r="D31" i="2"/>
  <c r="Q31" i="2" s="1"/>
  <c r="D32" i="2"/>
  <c r="Q32" i="2" s="1"/>
  <c r="D33" i="2"/>
  <c r="K33" i="2" s="1"/>
  <c r="D34" i="2"/>
  <c r="Q34" i="2" s="1"/>
  <c r="D35" i="2"/>
  <c r="Q35" i="2" s="1"/>
  <c r="D36" i="2"/>
  <c r="Q36" i="2" s="1"/>
  <c r="D37" i="2"/>
  <c r="Q37" i="2" s="1"/>
  <c r="D38" i="2"/>
  <c r="Q38" i="2" s="1"/>
  <c r="D39" i="2"/>
  <c r="Q39" i="2" s="1"/>
  <c r="D40" i="2"/>
  <c r="Q40" i="2" s="1"/>
  <c r="D41" i="2"/>
  <c r="K41" i="2" s="1"/>
  <c r="D42" i="2"/>
  <c r="Q42" i="2" s="1"/>
  <c r="D43" i="2"/>
  <c r="Q43" i="2" s="1"/>
  <c r="D44" i="2"/>
  <c r="Q44" i="2" s="1"/>
  <c r="D45" i="2"/>
  <c r="Q45" i="2" s="1"/>
  <c r="D46" i="2"/>
  <c r="Q46" i="2" s="1"/>
  <c r="D47" i="2"/>
  <c r="Q47" i="2" s="1"/>
  <c r="D48" i="2"/>
  <c r="Q48" i="2" s="1"/>
  <c r="D49" i="2"/>
  <c r="K49" i="2" s="1"/>
  <c r="D50" i="2"/>
  <c r="Q50" i="2" s="1"/>
  <c r="D51" i="2"/>
  <c r="Q51" i="2" s="1"/>
  <c r="D52" i="2"/>
  <c r="Q52" i="2" s="1"/>
  <c r="D53" i="2"/>
  <c r="Q53" i="2" s="1"/>
  <c r="D54" i="2"/>
  <c r="Q54" i="2" s="1"/>
  <c r="D55" i="2"/>
  <c r="Q55" i="2" s="1"/>
  <c r="D56" i="2"/>
  <c r="Q56" i="2" s="1"/>
  <c r="D57" i="2"/>
  <c r="K57" i="2" s="1"/>
  <c r="D58" i="2"/>
  <c r="Q58" i="2" s="1"/>
  <c r="D59" i="2"/>
  <c r="Q59" i="2" s="1"/>
  <c r="D60" i="2"/>
  <c r="P60" i="2" s="1"/>
  <c r="D61" i="2"/>
  <c r="Q61" i="2" s="1"/>
  <c r="D62" i="2"/>
  <c r="P62" i="2" s="1"/>
  <c r="D63" i="2"/>
  <c r="Q63" i="2" s="1"/>
  <c r="D64" i="2"/>
  <c r="Q64" i="2" s="1"/>
  <c r="D65" i="2"/>
  <c r="K65" i="2" s="1"/>
  <c r="D66" i="2"/>
  <c r="Q66" i="2" s="1"/>
  <c r="D67" i="2"/>
  <c r="Q67" i="2" s="1"/>
  <c r="D68" i="2"/>
  <c r="Q68" i="2" s="1"/>
  <c r="D69" i="2"/>
  <c r="Q69" i="2" s="1"/>
  <c r="D70" i="2"/>
  <c r="P70" i="2" s="1"/>
  <c r="D71" i="2"/>
  <c r="Q71" i="2" s="1"/>
  <c r="D72" i="2"/>
  <c r="Q72" i="2" s="1"/>
  <c r="D73" i="2"/>
  <c r="K73" i="2" s="1"/>
  <c r="D74" i="2"/>
  <c r="Q74" i="2" s="1"/>
  <c r="D75" i="2"/>
  <c r="Q75" i="2" s="1"/>
  <c r="D76" i="2"/>
  <c r="Q76" i="2" s="1"/>
  <c r="D77" i="2"/>
  <c r="Q77" i="2" s="1"/>
  <c r="D78" i="2"/>
  <c r="Q78" i="2" s="1"/>
  <c r="D79" i="2"/>
  <c r="Q79" i="2" s="1"/>
  <c r="D80" i="2"/>
  <c r="Q80" i="2" s="1"/>
  <c r="D81" i="2"/>
  <c r="K81" i="2" s="1"/>
  <c r="D82" i="2"/>
  <c r="Q82" i="2" s="1"/>
  <c r="D83" i="2"/>
  <c r="P83" i="2" s="1"/>
  <c r="D84" i="2"/>
  <c r="Q84" i="2" s="1"/>
  <c r="D85" i="2"/>
  <c r="Q85" i="2" s="1"/>
  <c r="D86" i="2"/>
  <c r="Q86" i="2" s="1"/>
  <c r="D87" i="2"/>
  <c r="Q87" i="2" s="1"/>
  <c r="D88" i="2"/>
  <c r="Q88" i="2" s="1"/>
  <c r="D89" i="2"/>
  <c r="K89" i="2" s="1"/>
  <c r="D90" i="2"/>
  <c r="Q90" i="2" s="1"/>
  <c r="D91" i="2"/>
  <c r="Q91" i="2" s="1"/>
  <c r="D92" i="2"/>
  <c r="Q92" i="2" s="1"/>
  <c r="D93" i="2"/>
  <c r="Q93" i="2" s="1"/>
  <c r="D94" i="2"/>
  <c r="Q94" i="2" s="1"/>
  <c r="D95" i="2"/>
  <c r="Q95" i="2" s="1"/>
  <c r="D96" i="2"/>
  <c r="Q96" i="2" s="1"/>
  <c r="D97" i="2"/>
  <c r="K97" i="2" s="1"/>
  <c r="D98" i="2"/>
  <c r="Q98" i="2" s="1"/>
  <c r="D99" i="2"/>
  <c r="Q99" i="2" s="1"/>
  <c r="D100" i="2"/>
  <c r="Q100" i="2" s="1"/>
  <c r="D101" i="2"/>
  <c r="Q101" i="2" s="1"/>
  <c r="D102" i="2"/>
  <c r="Q102" i="2" s="1"/>
  <c r="D103" i="2"/>
  <c r="Q103" i="2" s="1"/>
  <c r="D104" i="2"/>
  <c r="Q104" i="2" s="1"/>
  <c r="D105" i="2"/>
  <c r="P105" i="2" s="1"/>
  <c r="D106" i="2"/>
  <c r="Q106" i="2" s="1"/>
  <c r="D107" i="2"/>
  <c r="Q107" i="2" s="1"/>
  <c r="D109" i="2"/>
  <c r="K109" i="2" s="1"/>
  <c r="D110" i="2"/>
  <c r="Q110" i="2" s="1"/>
  <c r="D113" i="2"/>
  <c r="Q113" i="2" s="1"/>
  <c r="D114" i="2"/>
  <c r="Q114" i="2" s="1"/>
  <c r="D117" i="2"/>
  <c r="Q117" i="2" s="1"/>
  <c r="D118" i="2"/>
  <c r="Q118" i="2" s="1"/>
  <c r="D119" i="2"/>
  <c r="Q119" i="2" s="1"/>
  <c r="D121" i="2"/>
  <c r="Q121" i="2" s="1"/>
  <c r="D122" i="2"/>
  <c r="P122" i="2" s="1"/>
  <c r="D124" i="2"/>
  <c r="Q124" i="2" s="1"/>
  <c r="D128" i="2"/>
  <c r="Q128" i="2" s="1"/>
  <c r="D131" i="2"/>
  <c r="Q131" i="2" s="1"/>
  <c r="D132" i="2"/>
  <c r="Q132" i="2" s="1"/>
  <c r="D133" i="2"/>
  <c r="Q133" i="2" s="1"/>
  <c r="D134" i="2"/>
  <c r="Q134" i="2" s="1"/>
  <c r="D135" i="2"/>
  <c r="Q135" i="2" s="1"/>
  <c r="D136" i="2"/>
  <c r="Q136" i="2" s="1"/>
  <c r="D137" i="2"/>
  <c r="Q137" i="2" s="1"/>
  <c r="D138" i="2"/>
  <c r="Q138" i="2" s="1"/>
  <c r="D139" i="2"/>
  <c r="Q139" i="2" s="1"/>
  <c r="D140" i="2"/>
  <c r="Q140" i="2" s="1"/>
  <c r="D141" i="2"/>
  <c r="Q141" i="2" s="1"/>
  <c r="D142" i="2"/>
  <c r="Q142" i="2" s="1"/>
  <c r="D143" i="2"/>
  <c r="Q143" i="2" s="1"/>
  <c r="D144" i="2"/>
  <c r="Q144" i="2" s="1"/>
  <c r="D145" i="2"/>
  <c r="Q145" i="2" s="1"/>
  <c r="D146" i="2"/>
  <c r="Q146" i="2" s="1"/>
  <c r="D147" i="2"/>
  <c r="Q147" i="2" s="1"/>
  <c r="D148" i="2"/>
  <c r="Q148" i="2" s="1"/>
  <c r="D149" i="2"/>
  <c r="Q149" i="2" s="1"/>
  <c r="D150" i="2"/>
  <c r="Q150" i="2" s="1"/>
  <c r="D151" i="2"/>
  <c r="Q151" i="2" s="1"/>
  <c r="D152" i="2"/>
  <c r="Q152" i="2" s="1"/>
  <c r="D153" i="2"/>
  <c r="Q153" i="2" s="1"/>
  <c r="D154" i="2"/>
  <c r="Q154" i="2" s="1"/>
  <c r="D155" i="2"/>
  <c r="Q155" i="2" s="1"/>
  <c r="D156" i="2"/>
  <c r="Q156" i="2" s="1"/>
  <c r="D157" i="2"/>
  <c r="Q157" i="2" s="1"/>
  <c r="D158" i="2"/>
  <c r="Q158" i="2" s="1"/>
  <c r="D159" i="2"/>
  <c r="Q159" i="2" s="1"/>
  <c r="D160" i="2"/>
  <c r="Q160" i="2" s="1"/>
  <c r="D161" i="2"/>
  <c r="Q161" i="2" s="1"/>
  <c r="D162" i="2"/>
  <c r="Q162" i="2" s="1"/>
  <c r="D163" i="2"/>
  <c r="Q163" i="2" s="1"/>
  <c r="D164" i="2"/>
  <c r="Q164" i="2" s="1"/>
  <c r="D165" i="2"/>
  <c r="Q165" i="2" s="1"/>
  <c r="D166" i="2"/>
  <c r="Q166" i="2" s="1"/>
  <c r="D167" i="2"/>
  <c r="Q167" i="2" s="1"/>
  <c r="D168" i="2"/>
  <c r="Q168" i="2" s="1"/>
  <c r="D169" i="2"/>
  <c r="Q169" i="2" s="1"/>
  <c r="D170" i="2"/>
  <c r="Q170" i="2" s="1"/>
  <c r="D171" i="2"/>
  <c r="Q171" i="2" s="1"/>
  <c r="D172" i="2"/>
  <c r="Q172" i="2" s="1"/>
  <c r="D173" i="2"/>
  <c r="D174" i="2"/>
  <c r="P174" i="2" s="1"/>
  <c r="D175" i="2"/>
  <c r="Q175" i="2" s="1"/>
  <c r="D176" i="2"/>
  <c r="Q176" i="2" s="1"/>
  <c r="D177" i="2"/>
  <c r="Q177" i="2" s="1"/>
  <c r="D178" i="2"/>
  <c r="Q178" i="2" s="1"/>
  <c r="D179" i="2"/>
  <c r="Q179" i="2" s="1"/>
  <c r="D180" i="2"/>
  <c r="Q180" i="2" s="1"/>
  <c r="D181" i="2"/>
  <c r="D182" i="2"/>
  <c r="P182" i="2" s="1"/>
  <c r="D183" i="2"/>
  <c r="Q183" i="2" s="1"/>
  <c r="D184" i="2"/>
  <c r="Q184" i="2" s="1"/>
  <c r="D185" i="2"/>
  <c r="Q185" i="2" s="1"/>
  <c r="D186" i="2"/>
  <c r="Q186" i="2" s="1"/>
  <c r="D187" i="2"/>
  <c r="Q187" i="2" s="1"/>
  <c r="D188" i="2"/>
  <c r="Q188" i="2" s="1"/>
  <c r="D189" i="2"/>
  <c r="Q189" i="2" s="1"/>
  <c r="D190" i="2"/>
  <c r="Q190" i="2" s="1"/>
  <c r="D191" i="2"/>
  <c r="Q191" i="2" s="1"/>
  <c r="D192" i="2"/>
  <c r="Q192" i="2" s="1"/>
  <c r="D193" i="2"/>
  <c r="Q193" i="2" s="1"/>
  <c r="D194" i="2"/>
  <c r="Q194" i="2" s="1"/>
  <c r="D195" i="2"/>
  <c r="Q195" i="2" s="1"/>
  <c r="D196" i="2"/>
  <c r="Q196" i="2" s="1"/>
  <c r="D197" i="2"/>
  <c r="Q197" i="2" s="1"/>
  <c r="D198" i="2"/>
  <c r="Q198" i="2" s="1"/>
  <c r="D199" i="2"/>
  <c r="Q199" i="2" s="1"/>
  <c r="D200" i="2"/>
  <c r="Q200" i="2" s="1"/>
  <c r="D201" i="2"/>
  <c r="Q201" i="2" s="1"/>
  <c r="D202" i="2"/>
  <c r="Q202" i="2" s="1"/>
  <c r="D203" i="2"/>
  <c r="Q203" i="2" s="1"/>
  <c r="D204" i="2"/>
  <c r="Q204" i="2" s="1"/>
  <c r="D205" i="2"/>
  <c r="Q205" i="2" s="1"/>
  <c r="D206" i="2"/>
  <c r="Q206" i="2" s="1"/>
  <c r="D207" i="2"/>
  <c r="Q207" i="2" s="1"/>
  <c r="D208" i="2"/>
  <c r="K208" i="2" s="1"/>
  <c r="D219" i="2"/>
  <c r="Q219" i="2" s="1"/>
  <c r="D220" i="2"/>
  <c r="Q220" i="2" s="1"/>
  <c r="D221" i="2"/>
  <c r="Q221" i="2" s="1"/>
  <c r="D222" i="2"/>
  <c r="P222" i="2" s="1"/>
  <c r="D223" i="2"/>
  <c r="Q223" i="2" s="1"/>
  <c r="D224" i="2"/>
  <c r="Q224" i="2" s="1"/>
  <c r="D225" i="2"/>
  <c r="Q225" i="2" s="1"/>
  <c r="D226" i="2"/>
  <c r="Q226" i="2" s="1"/>
  <c r="D227" i="2"/>
  <c r="Q227" i="2" s="1"/>
  <c r="D228" i="2"/>
  <c r="Q228" i="2" s="1"/>
  <c r="D229" i="2"/>
  <c r="Q229" i="2" s="1"/>
  <c r="D230" i="2"/>
  <c r="Q230" i="2" s="1"/>
  <c r="D231" i="2"/>
  <c r="Q231" i="2" s="1"/>
  <c r="D232" i="2"/>
  <c r="Q232" i="2" s="1"/>
  <c r="D233" i="2"/>
  <c r="Q233" i="2" s="1"/>
  <c r="D234" i="2"/>
  <c r="Q234" i="2" s="1"/>
  <c r="D235" i="2"/>
  <c r="Q235" i="2" s="1"/>
  <c r="D252" i="2"/>
  <c r="Q252" i="2" s="1"/>
  <c r="D253" i="2"/>
  <c r="D254" i="2"/>
  <c r="Q254" i="2" s="1"/>
  <c r="D255" i="2"/>
  <c r="Q255" i="2" s="1"/>
  <c r="D256" i="2"/>
  <c r="Q256" i="2" s="1"/>
  <c r="D257" i="2"/>
  <c r="Q257" i="2" s="1"/>
  <c r="D258" i="2"/>
  <c r="Q258" i="2" s="1"/>
  <c r="D259" i="2"/>
  <c r="Q259" i="2" s="1"/>
  <c r="D260" i="2"/>
  <c r="Q260" i="2" s="1"/>
  <c r="D261" i="2"/>
  <c r="Q261" i="2" s="1"/>
  <c r="D262" i="2"/>
  <c r="Q262" i="2" s="1"/>
  <c r="D263" i="2"/>
  <c r="Q263" i="2" s="1"/>
  <c r="D264" i="2"/>
  <c r="Q264" i="2" s="1"/>
  <c r="D374" i="2"/>
  <c r="Q374" i="2" s="1"/>
  <c r="D375" i="2"/>
  <c r="Q375" i="2" s="1"/>
  <c r="D376" i="2"/>
  <c r="Q376" i="2" s="1"/>
  <c r="D377" i="2"/>
  <c r="Q377" i="2" s="1"/>
  <c r="D378" i="2"/>
  <c r="Q378" i="2" s="1"/>
  <c r="D379" i="2"/>
  <c r="Q379" i="2" s="1"/>
  <c r="D380" i="2"/>
  <c r="Q380" i="2" s="1"/>
  <c r="D443" i="2"/>
  <c r="Q443" i="2" s="1"/>
  <c r="D444" i="2"/>
  <c r="Q444" i="2" s="1"/>
  <c r="D445" i="2"/>
  <c r="Q445" i="2" s="1"/>
  <c r="D446" i="2"/>
  <c r="Q446" i="2" s="1"/>
  <c r="D447" i="2"/>
  <c r="Q447" i="2" s="1"/>
  <c r="D448" i="2"/>
  <c r="Q448" i="2" s="1"/>
  <c r="D449" i="2"/>
  <c r="P449" i="2" s="1"/>
  <c r="D450" i="2"/>
  <c r="Q450" i="2" s="1"/>
  <c r="D451" i="2"/>
  <c r="Q451" i="2" s="1"/>
  <c r="D452" i="2"/>
  <c r="Q452" i="2" s="1"/>
  <c r="D453" i="2"/>
  <c r="Q453" i="2" s="1"/>
  <c r="D454" i="2"/>
  <c r="Q454" i="2" s="1"/>
  <c r="D455" i="2"/>
  <c r="Q455" i="2" s="1"/>
  <c r="D456" i="2"/>
  <c r="Q456" i="2" s="1"/>
  <c r="D457" i="2"/>
  <c r="P457" i="2" s="1"/>
  <c r="D458" i="2"/>
  <c r="Q458" i="2" s="1"/>
  <c r="D492" i="2"/>
  <c r="Q492" i="2" s="1"/>
  <c r="D493" i="2"/>
  <c r="Q493" i="2" s="1"/>
  <c r="D494" i="2"/>
  <c r="P494" i="2" s="1"/>
  <c r="D495" i="2"/>
  <c r="Q495" i="2" s="1"/>
  <c r="D496" i="2"/>
  <c r="Q496" i="2" s="1"/>
  <c r="D497" i="2"/>
  <c r="K497" i="2" s="1"/>
  <c r="D498" i="2"/>
  <c r="P498" i="2" s="1"/>
  <c r="D499" i="2"/>
  <c r="Q499" i="2" s="1"/>
  <c r="D500" i="2"/>
  <c r="Q500" i="2" s="1"/>
  <c r="D501" i="2"/>
  <c r="D502" i="2"/>
  <c r="K502" i="2" s="1"/>
  <c r="D503" i="2"/>
  <c r="Q503" i="2" s="1"/>
  <c r="D504" i="2"/>
  <c r="Q504" i="2" s="1"/>
  <c r="D526" i="2"/>
  <c r="Q526" i="2" s="1"/>
  <c r="D527" i="2"/>
  <c r="P527" i="2" s="1"/>
  <c r="D528" i="2"/>
  <c r="Q528" i="2" s="1"/>
  <c r="D539" i="2"/>
  <c r="Q539" i="2" s="1"/>
  <c r="D540" i="2"/>
  <c r="Q540" i="2" s="1"/>
  <c r="D541" i="2"/>
  <c r="Q541" i="2" s="1"/>
  <c r="D542" i="2"/>
  <c r="Q542" i="2" s="1"/>
  <c r="D543" i="2"/>
  <c r="Q543" i="2" s="1"/>
  <c r="D544" i="2"/>
  <c r="Q544" i="2" s="1"/>
  <c r="D545" i="2"/>
  <c r="P545" i="2" s="1"/>
  <c r="D546" i="2"/>
  <c r="P546" i="2" s="1"/>
  <c r="D547" i="2"/>
  <c r="Q547" i="2" s="1"/>
  <c r="D548" i="2"/>
  <c r="Q548" i="2" s="1"/>
  <c r="D549" i="2"/>
  <c r="K549" i="2" s="1"/>
  <c r="D550" i="2"/>
  <c r="Q550" i="2" s="1"/>
  <c r="D551" i="2"/>
  <c r="Q551" i="2" s="1"/>
  <c r="D552" i="2"/>
  <c r="Q552" i="2" s="1"/>
  <c r="D553" i="2"/>
  <c r="P553" i="2" s="1"/>
  <c r="D554" i="2"/>
  <c r="P554" i="2" s="1"/>
  <c r="D555" i="2"/>
  <c r="Q555" i="2" s="1"/>
  <c r="D556" i="2"/>
  <c r="Q556" i="2" s="1"/>
  <c r="D557" i="2"/>
  <c r="K557" i="2" s="1"/>
  <c r="D558" i="2"/>
  <c r="Q558" i="2" s="1"/>
  <c r="D559" i="2"/>
  <c r="Q559" i="2" s="1"/>
  <c r="D560" i="2"/>
  <c r="Q560" i="2" s="1"/>
  <c r="D561" i="2"/>
  <c r="P561" i="2" s="1"/>
  <c r="D562" i="2"/>
  <c r="P562" i="2" s="1"/>
  <c r="D563" i="2"/>
  <c r="Q563" i="2" s="1"/>
  <c r="D564" i="2"/>
  <c r="Q564" i="2" s="1"/>
  <c r="D566" i="2"/>
  <c r="P566" i="2" s="1"/>
  <c r="D568" i="2"/>
  <c r="Q568" i="2" s="1"/>
  <c r="D569" i="2"/>
  <c r="Q569" i="2" s="1"/>
  <c r="D570" i="2"/>
  <c r="K570" i="2" s="1"/>
  <c r="D571" i="2"/>
  <c r="Q571" i="2" s="1"/>
  <c r="D572" i="2"/>
  <c r="Q572" i="2" s="1"/>
  <c r="D573" i="2"/>
  <c r="Q573" i="2" s="1"/>
  <c r="D592" i="2"/>
  <c r="Q592" i="2" s="1"/>
  <c r="D593" i="2"/>
  <c r="Q593" i="2" s="1"/>
  <c r="D594" i="2"/>
  <c r="Q594" i="2" s="1"/>
  <c r="D595" i="2"/>
  <c r="Q595" i="2" s="1"/>
  <c r="D596" i="2"/>
  <c r="Q596" i="2" s="1"/>
  <c r="D597" i="2"/>
  <c r="Q597" i="2" s="1"/>
  <c r="D598" i="2"/>
  <c r="Q598" i="2" s="1"/>
  <c r="D599" i="2"/>
  <c r="P599" i="2" s="1"/>
  <c r="D600" i="2"/>
  <c r="Q600" i="2" s="1"/>
  <c r="D601" i="2"/>
  <c r="Q601" i="2" s="1"/>
  <c r="D602" i="2"/>
  <c r="Q602" i="2" s="1"/>
  <c r="D603" i="2"/>
  <c r="Q603" i="2" s="1"/>
  <c r="D604" i="2"/>
  <c r="Q604" i="2" s="1"/>
  <c r="D605" i="2"/>
  <c r="Q605" i="2" s="1"/>
  <c r="D606" i="2"/>
  <c r="Q606" i="2" s="1"/>
  <c r="D607" i="2"/>
  <c r="P607" i="2" s="1"/>
  <c r="D608" i="2"/>
  <c r="Q608" i="2" s="1"/>
  <c r="D609" i="2"/>
  <c r="Q609" i="2" s="1"/>
  <c r="D610" i="2"/>
  <c r="Q610" i="2" s="1"/>
  <c r="D611" i="2"/>
  <c r="Q611" i="2" s="1"/>
  <c r="D612" i="2"/>
  <c r="Q612" i="2" s="1"/>
  <c r="D613" i="2"/>
  <c r="Q613" i="2" s="1"/>
  <c r="D614" i="2"/>
  <c r="P614" i="2" s="1"/>
  <c r="D615" i="2"/>
  <c r="P615" i="2" s="1"/>
  <c r="D616" i="2"/>
  <c r="Q616" i="2" s="1"/>
  <c r="D617" i="2"/>
  <c r="K617" i="2" s="1"/>
  <c r="D618" i="2"/>
  <c r="Q618" i="2" s="1"/>
  <c r="D619" i="2"/>
  <c r="Q619" i="2" s="1"/>
  <c r="D620" i="2"/>
  <c r="Q620" i="2" s="1"/>
  <c r="D621" i="2"/>
  <c r="Q621" i="2" s="1"/>
  <c r="D622" i="2"/>
  <c r="Q622" i="2" s="1"/>
  <c r="D623" i="2"/>
  <c r="P623" i="2" s="1"/>
  <c r="D624" i="2"/>
  <c r="Q624" i="2" s="1"/>
  <c r="D625" i="2"/>
  <c r="Q625" i="2" s="1"/>
  <c r="D626" i="2"/>
  <c r="Q626" i="2" s="1"/>
  <c r="D627" i="2"/>
  <c r="Q627" i="2" s="1"/>
  <c r="D628" i="2"/>
  <c r="Q628" i="2" s="1"/>
  <c r="D629" i="2"/>
  <c r="Q629" i="2" s="1"/>
  <c r="D630" i="2"/>
  <c r="Q630" i="2" s="1"/>
  <c r="D631" i="2"/>
  <c r="P631" i="2" s="1"/>
  <c r="D632" i="2"/>
  <c r="Q632" i="2" s="1"/>
  <c r="D633" i="2"/>
  <c r="K633" i="2" s="1"/>
  <c r="D634" i="2"/>
  <c r="Q634" i="2" s="1"/>
  <c r="D635" i="2"/>
  <c r="Q635" i="2" s="1"/>
  <c r="D636" i="2"/>
  <c r="Q636" i="2" s="1"/>
  <c r="D637" i="2"/>
  <c r="Q637" i="2" s="1"/>
  <c r="D638" i="2"/>
  <c r="Q638" i="2" s="1"/>
  <c r="D639" i="2"/>
  <c r="P639" i="2" s="1"/>
  <c r="D640" i="2"/>
  <c r="Q640" i="2" s="1"/>
  <c r="D641" i="2"/>
  <c r="Q641" i="2" s="1"/>
  <c r="D642" i="2"/>
  <c r="Q642" i="2" s="1"/>
  <c r="D643" i="2"/>
  <c r="Q643" i="2" s="1"/>
  <c r="D644" i="2"/>
  <c r="Q644" i="2" s="1"/>
  <c r="D645" i="2"/>
  <c r="Q645" i="2" s="1"/>
  <c r="D646" i="2"/>
  <c r="Q646" i="2" s="1"/>
  <c r="D647" i="2"/>
  <c r="P647" i="2" s="1"/>
  <c r="D648" i="2"/>
  <c r="Q648" i="2" s="1"/>
  <c r="D649" i="2"/>
  <c r="Q649" i="2" s="1"/>
  <c r="D650" i="2"/>
  <c r="Q650" i="2" s="1"/>
  <c r="D651" i="2"/>
  <c r="Q651" i="2" s="1"/>
  <c r="D652" i="2"/>
  <c r="Q652" i="2" s="1"/>
  <c r="D653" i="2"/>
  <c r="Q653" i="2" s="1"/>
  <c r="D654" i="2"/>
  <c r="Q654" i="2" s="1"/>
  <c r="D655" i="2"/>
  <c r="Q655" i="2" s="1"/>
  <c r="D656" i="2"/>
  <c r="Q656" i="2" s="1"/>
  <c r="D657" i="2"/>
  <c r="Q657" i="2" s="1"/>
  <c r="D658" i="2"/>
  <c r="Q658" i="2" s="1"/>
  <c r="D659" i="2"/>
  <c r="Q659" i="2" s="1"/>
  <c r="D660" i="2"/>
  <c r="Q660" i="2" s="1"/>
  <c r="D661" i="2"/>
  <c r="P661" i="2" s="1"/>
  <c r="D662" i="2"/>
  <c r="Q662" i="2" s="1"/>
  <c r="D663" i="2"/>
  <c r="P663" i="2" s="1"/>
  <c r="D664" i="2"/>
  <c r="Q664" i="2" s="1"/>
  <c r="D665" i="2"/>
  <c r="Q665" i="2" s="1"/>
  <c r="D666" i="2"/>
  <c r="Q666" i="2" s="1"/>
  <c r="D702" i="2"/>
  <c r="P702" i="2" s="1"/>
  <c r="D729" i="2"/>
  <c r="Q729" i="2" s="1"/>
  <c r="D807" i="2"/>
  <c r="Q807" i="2" s="1"/>
  <c r="D812" i="2"/>
  <c r="Q812" i="2" s="1"/>
  <c r="D815" i="2"/>
  <c r="Q815" i="2" s="1"/>
  <c r="D821" i="2"/>
  <c r="Q821" i="2" s="1"/>
  <c r="D823" i="2"/>
  <c r="Q823" i="2" s="1"/>
  <c r="D832" i="2"/>
  <c r="Q832" i="2" s="1"/>
  <c r="K52" i="2"/>
  <c r="K108" i="2"/>
  <c r="K111" i="2"/>
  <c r="K112" i="2"/>
  <c r="K115" i="2"/>
  <c r="K116" i="2"/>
  <c r="K120" i="2"/>
  <c r="K123" i="2"/>
  <c r="K125" i="2"/>
  <c r="K126" i="2"/>
  <c r="K127" i="2"/>
  <c r="K129" i="2"/>
  <c r="K130" i="2"/>
  <c r="K209" i="2"/>
  <c r="K210" i="2"/>
  <c r="K211" i="2"/>
  <c r="K212" i="2"/>
  <c r="K213" i="2"/>
  <c r="K214" i="2"/>
  <c r="K215" i="2"/>
  <c r="K216" i="2"/>
  <c r="K217" i="2"/>
  <c r="K218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9" i="2"/>
  <c r="K530" i="2"/>
  <c r="K531" i="2"/>
  <c r="K532" i="2"/>
  <c r="K533" i="2"/>
  <c r="K534" i="2"/>
  <c r="K535" i="2"/>
  <c r="K536" i="2"/>
  <c r="K537" i="2"/>
  <c r="K538" i="2"/>
  <c r="K565" i="2"/>
  <c r="K567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B550" i="2"/>
  <c r="R222" i="2" l="1"/>
  <c r="R221" i="2"/>
  <c r="R219" i="2"/>
  <c r="R202" i="2"/>
  <c r="R208" i="2"/>
  <c r="R207" i="2"/>
  <c r="R206" i="2"/>
  <c r="R205" i="2"/>
  <c r="R204" i="2"/>
  <c r="R203" i="2"/>
  <c r="P230" i="2"/>
  <c r="P14" i="2"/>
  <c r="P454" i="2"/>
  <c r="Q661" i="2"/>
  <c r="Q557" i="2"/>
  <c r="K200" i="2"/>
  <c r="K100" i="2"/>
  <c r="K168" i="2"/>
  <c r="K44" i="2"/>
  <c r="P2" i="2"/>
  <c r="P558" i="2"/>
  <c r="P526" i="2"/>
  <c r="P219" i="2"/>
  <c r="P166" i="2"/>
  <c r="P110" i="2"/>
  <c r="P54" i="2"/>
  <c r="Q570" i="2"/>
  <c r="Q562" i="2"/>
  <c r="Q554" i="2"/>
  <c r="Q546" i="2"/>
  <c r="Q498" i="2"/>
  <c r="Q122" i="2"/>
  <c r="P555" i="2"/>
  <c r="P262" i="2"/>
  <c r="P158" i="2"/>
  <c r="Q633" i="2"/>
  <c r="Q617" i="2"/>
  <c r="Q561" i="2"/>
  <c r="Q553" i="2"/>
  <c r="Q545" i="2"/>
  <c r="Q497" i="2"/>
  <c r="Q457" i="2"/>
  <c r="Q449" i="2"/>
  <c r="Q105" i="2"/>
  <c r="Q97" i="2"/>
  <c r="Q89" i="2"/>
  <c r="Q81" i="2"/>
  <c r="Q73" i="2"/>
  <c r="Q65" i="2"/>
  <c r="Q57" i="2"/>
  <c r="Q49" i="2"/>
  <c r="Q41" i="2"/>
  <c r="Q33" i="2"/>
  <c r="Q25" i="2"/>
  <c r="Q17" i="2"/>
  <c r="K36" i="2"/>
  <c r="P550" i="2"/>
  <c r="P451" i="2"/>
  <c r="P259" i="2"/>
  <c r="P150" i="2"/>
  <c r="P102" i="2"/>
  <c r="P38" i="2"/>
  <c r="Q208" i="2"/>
  <c r="Q8" i="2"/>
  <c r="K7" i="2"/>
  <c r="P547" i="2"/>
  <c r="P446" i="2"/>
  <c r="P374" i="2"/>
  <c r="P254" i="2"/>
  <c r="P206" i="2"/>
  <c r="P142" i="2"/>
  <c r="P94" i="2"/>
  <c r="P30" i="2"/>
  <c r="Q663" i="2"/>
  <c r="Q647" i="2"/>
  <c r="Q639" i="2"/>
  <c r="Q631" i="2"/>
  <c r="Q623" i="2"/>
  <c r="Q615" i="2"/>
  <c r="Q607" i="2"/>
  <c r="Q599" i="2"/>
  <c r="Q527" i="2"/>
  <c r="P542" i="2"/>
  <c r="P443" i="2"/>
  <c r="P235" i="2"/>
  <c r="P198" i="2"/>
  <c r="P134" i="2"/>
  <c r="P86" i="2"/>
  <c r="P22" i="2"/>
  <c r="Q702" i="2"/>
  <c r="Q614" i="2"/>
  <c r="Q566" i="2"/>
  <c r="Q502" i="2"/>
  <c r="Q494" i="2"/>
  <c r="Q222" i="2"/>
  <c r="Q182" i="2"/>
  <c r="Q174" i="2"/>
  <c r="Q70" i="2"/>
  <c r="Q62" i="2"/>
  <c r="Q6" i="2"/>
  <c r="Q109" i="2"/>
  <c r="Q549" i="2"/>
  <c r="P502" i="2"/>
  <c r="P227" i="2"/>
  <c r="Q60" i="2"/>
  <c r="Q4" i="2"/>
  <c r="P563" i="2"/>
  <c r="Q83" i="2"/>
  <c r="P630" i="2"/>
  <c r="P598" i="2"/>
  <c r="P659" i="2"/>
  <c r="P643" i="2"/>
  <c r="P627" i="2"/>
  <c r="P603" i="2"/>
  <c r="P571" i="2"/>
  <c r="P499" i="2"/>
  <c r="P379" i="2"/>
  <c r="P203" i="2"/>
  <c r="P179" i="2"/>
  <c r="P163" i="2"/>
  <c r="P107" i="2"/>
  <c r="P11" i="2"/>
  <c r="P666" i="2"/>
  <c r="P658" i="2"/>
  <c r="P650" i="2"/>
  <c r="P642" i="2"/>
  <c r="P634" i="2"/>
  <c r="P626" i="2"/>
  <c r="P618" i="2"/>
  <c r="P610" i="2"/>
  <c r="P602" i="2"/>
  <c r="P594" i="2"/>
  <c r="P570" i="2"/>
  <c r="P458" i="2"/>
  <c r="P450" i="2"/>
  <c r="P378" i="2"/>
  <c r="P258" i="2"/>
  <c r="P234" i="2"/>
  <c r="P226" i="2"/>
  <c r="P202" i="2"/>
  <c r="P194" i="2"/>
  <c r="P186" i="2"/>
  <c r="P178" i="2"/>
  <c r="P170" i="2"/>
  <c r="P162" i="2"/>
  <c r="P154" i="2"/>
  <c r="P146" i="2"/>
  <c r="P138" i="2"/>
  <c r="P114" i="2"/>
  <c r="P106" i="2"/>
  <c r="P98" i="2"/>
  <c r="P90" i="2"/>
  <c r="P82" i="2"/>
  <c r="P74" i="2"/>
  <c r="P66" i="2"/>
  <c r="P58" i="2"/>
  <c r="P50" i="2"/>
  <c r="P42" i="2"/>
  <c r="P34" i="2"/>
  <c r="P26" i="2"/>
  <c r="P18" i="2"/>
  <c r="P10" i="2"/>
  <c r="P646" i="2"/>
  <c r="P651" i="2"/>
  <c r="P635" i="2"/>
  <c r="P619" i="2"/>
  <c r="P611" i="2"/>
  <c r="P595" i="2"/>
  <c r="P195" i="2"/>
  <c r="P187" i="2"/>
  <c r="P171" i="2"/>
  <c r="P155" i="2"/>
  <c r="P147" i="2"/>
  <c r="P139" i="2"/>
  <c r="P131" i="2"/>
  <c r="P99" i="2"/>
  <c r="P91" i="2"/>
  <c r="P75" i="2"/>
  <c r="P67" i="2"/>
  <c r="P59" i="2"/>
  <c r="P51" i="2"/>
  <c r="P43" i="2"/>
  <c r="P35" i="2"/>
  <c r="P27" i="2"/>
  <c r="P19" i="2"/>
  <c r="P3" i="2"/>
  <c r="P729" i="2"/>
  <c r="P665" i="2"/>
  <c r="P657" i="2"/>
  <c r="P649" i="2"/>
  <c r="P641" i="2"/>
  <c r="P633" i="2"/>
  <c r="P625" i="2"/>
  <c r="P617" i="2"/>
  <c r="P609" i="2"/>
  <c r="P601" i="2"/>
  <c r="P593" i="2"/>
  <c r="P569" i="2"/>
  <c r="P497" i="2"/>
  <c r="P377" i="2"/>
  <c r="P257" i="2"/>
  <c r="P233" i="2"/>
  <c r="P225" i="2"/>
  <c r="P201" i="2"/>
  <c r="P193" i="2"/>
  <c r="P185" i="2"/>
  <c r="P177" i="2"/>
  <c r="P169" i="2"/>
  <c r="P161" i="2"/>
  <c r="P153" i="2"/>
  <c r="P145" i="2"/>
  <c r="P137" i="2"/>
  <c r="P121" i="2"/>
  <c r="P113" i="2"/>
  <c r="P97" i="2"/>
  <c r="P89" i="2"/>
  <c r="P81" i="2"/>
  <c r="P73" i="2"/>
  <c r="P65" i="2"/>
  <c r="P57" i="2"/>
  <c r="P49" i="2"/>
  <c r="P41" i="2"/>
  <c r="P33" i="2"/>
  <c r="P25" i="2"/>
  <c r="P17" i="2"/>
  <c r="P9" i="2"/>
  <c r="P638" i="2"/>
  <c r="P832" i="2"/>
  <c r="P664" i="2"/>
  <c r="P656" i="2"/>
  <c r="P648" i="2"/>
  <c r="P640" i="2"/>
  <c r="P632" i="2"/>
  <c r="P624" i="2"/>
  <c r="P616" i="2"/>
  <c r="P608" i="2"/>
  <c r="P600" i="2"/>
  <c r="P592" i="2"/>
  <c r="P568" i="2"/>
  <c r="P560" i="2"/>
  <c r="P552" i="2"/>
  <c r="P544" i="2"/>
  <c r="P528" i="2"/>
  <c r="P504" i="2"/>
  <c r="P496" i="2"/>
  <c r="P456" i="2"/>
  <c r="P448" i="2"/>
  <c r="P376" i="2"/>
  <c r="P264" i="2"/>
  <c r="P256" i="2"/>
  <c r="P232" i="2"/>
  <c r="P224" i="2"/>
  <c r="P208" i="2"/>
  <c r="P200" i="2"/>
  <c r="P192" i="2"/>
  <c r="P184" i="2"/>
  <c r="P176" i="2"/>
  <c r="P168" i="2"/>
  <c r="P160" i="2"/>
  <c r="P152" i="2"/>
  <c r="P144" i="2"/>
  <c r="P136" i="2"/>
  <c r="P128" i="2"/>
  <c r="P104" i="2"/>
  <c r="P96" i="2"/>
  <c r="P88" i="2"/>
  <c r="P80" i="2"/>
  <c r="P72" i="2"/>
  <c r="P64" i="2"/>
  <c r="P56" i="2"/>
  <c r="P48" i="2"/>
  <c r="P40" i="2"/>
  <c r="P32" i="2"/>
  <c r="P24" i="2"/>
  <c r="P16" i="2"/>
  <c r="P8" i="2"/>
  <c r="P662" i="2"/>
  <c r="P622" i="2"/>
  <c r="P606" i="2"/>
  <c r="P823" i="2"/>
  <c r="P815" i="2"/>
  <c r="P807" i="2"/>
  <c r="P655" i="2"/>
  <c r="P559" i="2"/>
  <c r="P551" i="2"/>
  <c r="P543" i="2"/>
  <c r="P503" i="2"/>
  <c r="P495" i="2"/>
  <c r="P455" i="2"/>
  <c r="P447" i="2"/>
  <c r="P375" i="2"/>
  <c r="P263" i="2"/>
  <c r="P255" i="2"/>
  <c r="P231" i="2"/>
  <c r="P223" i="2"/>
  <c r="P207" i="2"/>
  <c r="P199" i="2"/>
  <c r="P191" i="2"/>
  <c r="P183" i="2"/>
  <c r="P175" i="2"/>
  <c r="P167" i="2"/>
  <c r="P159" i="2"/>
  <c r="P151" i="2"/>
  <c r="P143" i="2"/>
  <c r="P135" i="2"/>
  <c r="P119" i="2"/>
  <c r="P103" i="2"/>
  <c r="P95" i="2"/>
  <c r="P87" i="2"/>
  <c r="P79" i="2"/>
  <c r="P71" i="2"/>
  <c r="P63" i="2"/>
  <c r="P55" i="2"/>
  <c r="P47" i="2"/>
  <c r="P39" i="2"/>
  <c r="P31" i="2"/>
  <c r="P23" i="2"/>
  <c r="P15" i="2"/>
  <c r="P7" i="2"/>
  <c r="P654" i="2"/>
  <c r="P118" i="2"/>
  <c r="K9" i="2"/>
  <c r="P821" i="2"/>
  <c r="P653" i="2"/>
  <c r="P645" i="2"/>
  <c r="P637" i="2"/>
  <c r="P629" i="2"/>
  <c r="P621" i="2"/>
  <c r="P613" i="2"/>
  <c r="P605" i="2"/>
  <c r="P597" i="2"/>
  <c r="P573" i="2"/>
  <c r="P557" i="2"/>
  <c r="P549" i="2"/>
  <c r="P541" i="2"/>
  <c r="P501" i="2"/>
  <c r="P493" i="2"/>
  <c r="P453" i="2"/>
  <c r="P445" i="2"/>
  <c r="P261" i="2"/>
  <c r="P253" i="2"/>
  <c r="P229" i="2"/>
  <c r="P221" i="2"/>
  <c r="P205" i="2"/>
  <c r="P197" i="2"/>
  <c r="P189" i="2"/>
  <c r="P181" i="2"/>
  <c r="P173" i="2"/>
  <c r="P165" i="2"/>
  <c r="P157" i="2"/>
  <c r="P149" i="2"/>
  <c r="P141" i="2"/>
  <c r="P133" i="2"/>
  <c r="P117" i="2"/>
  <c r="P109" i="2"/>
  <c r="P101" i="2"/>
  <c r="P93" i="2"/>
  <c r="P85" i="2"/>
  <c r="P77" i="2"/>
  <c r="P69" i="2"/>
  <c r="P61" i="2"/>
  <c r="P53" i="2"/>
  <c r="P45" i="2"/>
  <c r="P37" i="2"/>
  <c r="P29" i="2"/>
  <c r="P21" i="2"/>
  <c r="P13" i="2"/>
  <c r="P5" i="2"/>
  <c r="P812" i="2"/>
  <c r="P660" i="2"/>
  <c r="P652" i="2"/>
  <c r="P644" i="2"/>
  <c r="P636" i="2"/>
  <c r="P628" i="2"/>
  <c r="P620" i="2"/>
  <c r="P612" i="2"/>
  <c r="P604" i="2"/>
  <c r="P596" i="2"/>
  <c r="P572" i="2"/>
  <c r="P564" i="2"/>
  <c r="P556" i="2"/>
  <c r="P548" i="2"/>
  <c r="P540" i="2"/>
  <c r="P500" i="2"/>
  <c r="P492" i="2"/>
  <c r="P452" i="2"/>
  <c r="P444" i="2"/>
  <c r="P380" i="2"/>
  <c r="P260" i="2"/>
  <c r="P252" i="2"/>
  <c r="P228" i="2"/>
  <c r="P220" i="2"/>
  <c r="P204" i="2"/>
  <c r="P196" i="2"/>
  <c r="P188" i="2"/>
  <c r="P180" i="2"/>
  <c r="P172" i="2"/>
  <c r="P164" i="2"/>
  <c r="P156" i="2"/>
  <c r="P148" i="2"/>
  <c r="P140" i="2"/>
  <c r="P132" i="2"/>
  <c r="P124" i="2"/>
  <c r="P100" i="2"/>
  <c r="P92" i="2"/>
  <c r="P84" i="2"/>
  <c r="P76" i="2"/>
  <c r="P68" i="2"/>
  <c r="P52" i="2"/>
  <c r="P44" i="2"/>
  <c r="P36" i="2"/>
  <c r="P28" i="2"/>
  <c r="P20" i="2"/>
  <c r="P12" i="2"/>
  <c r="P4" i="2"/>
  <c r="K639" i="2"/>
  <c r="K599" i="2"/>
  <c r="K614" i="2"/>
  <c r="K562" i="2"/>
  <c r="K554" i="2"/>
  <c r="K546" i="2"/>
  <c r="K561" i="2"/>
  <c r="K553" i="2"/>
  <c r="K527" i="2"/>
  <c r="K498" i="2"/>
  <c r="K449" i="2"/>
  <c r="K663" i="2"/>
  <c r="K647" i="2"/>
  <c r="K623" i="2"/>
  <c r="K615" i="2"/>
  <c r="K631" i="2"/>
  <c r="K105" i="2"/>
  <c r="K607" i="2"/>
  <c r="K545" i="2"/>
  <c r="K457" i="2"/>
  <c r="K176" i="2"/>
  <c r="K15" i="2"/>
  <c r="K63" i="2"/>
  <c r="K655" i="2"/>
  <c r="K55" i="2"/>
  <c r="K642" i="2"/>
  <c r="K618" i="2"/>
  <c r="K594" i="2"/>
  <c r="K542" i="2"/>
  <c r="K235" i="2"/>
  <c r="K193" i="2"/>
  <c r="K161" i="2"/>
  <c r="K101" i="2"/>
  <c r="K61" i="2"/>
  <c r="K13" i="2"/>
  <c r="K648" i="2"/>
  <c r="K624" i="2"/>
  <c r="K592" i="2"/>
  <c r="K540" i="2"/>
  <c r="K444" i="2"/>
  <c r="K257" i="2"/>
  <c r="K207" i="2"/>
  <c r="K191" i="2"/>
  <c r="K183" i="2"/>
  <c r="K175" i="2"/>
  <c r="K167" i="2"/>
  <c r="K143" i="2"/>
  <c r="K135" i="2"/>
  <c r="K121" i="2"/>
  <c r="K107" i="2"/>
  <c r="K99" i="2"/>
  <c r="K91" i="2"/>
  <c r="K83" i="2"/>
  <c r="K75" i="2"/>
  <c r="K67" i="2"/>
  <c r="K59" i="2"/>
  <c r="K51" i="2"/>
  <c r="K43" i="2"/>
  <c r="K35" i="2"/>
  <c r="K27" i="2"/>
  <c r="K19" i="2"/>
  <c r="K11" i="2"/>
  <c r="K3" i="2"/>
  <c r="K658" i="2"/>
  <c r="K634" i="2"/>
  <c r="K454" i="2"/>
  <c r="K376" i="2"/>
  <c r="K201" i="2"/>
  <c r="K169" i="2"/>
  <c r="K137" i="2"/>
  <c r="K93" i="2"/>
  <c r="K69" i="2"/>
  <c r="K5" i="2"/>
  <c r="K665" i="2"/>
  <c r="K641" i="2"/>
  <c r="K625" i="2"/>
  <c r="K601" i="2"/>
  <c r="K664" i="2"/>
  <c r="K640" i="2"/>
  <c r="K616" i="2"/>
  <c r="K600" i="2"/>
  <c r="K548" i="2"/>
  <c r="K493" i="2"/>
  <c r="K452" i="2"/>
  <c r="K233" i="2"/>
  <c r="K199" i="2"/>
  <c r="K151" i="2"/>
  <c r="K609" i="2"/>
  <c r="K566" i="2"/>
  <c r="K666" i="2"/>
  <c r="K495" i="2"/>
  <c r="K259" i="2"/>
  <c r="K219" i="2"/>
  <c r="K177" i="2"/>
  <c r="K153" i="2"/>
  <c r="K124" i="2"/>
  <c r="K77" i="2"/>
  <c r="K45" i="2"/>
  <c r="K21" i="2"/>
  <c r="K649" i="2"/>
  <c r="K593" i="2"/>
  <c r="K610" i="2"/>
  <c r="K656" i="2"/>
  <c r="K632" i="2"/>
  <c r="K608" i="2"/>
  <c r="K556" i="2"/>
  <c r="K501" i="2"/>
  <c r="K374" i="2"/>
  <c r="K225" i="2"/>
  <c r="K159" i="2"/>
  <c r="K568" i="2"/>
  <c r="K650" i="2"/>
  <c r="K626" i="2"/>
  <c r="K602" i="2"/>
  <c r="K558" i="2"/>
  <c r="K503" i="2"/>
  <c r="K446" i="2"/>
  <c r="K227" i="2"/>
  <c r="K185" i="2"/>
  <c r="K145" i="2"/>
  <c r="K110" i="2"/>
  <c r="K85" i="2"/>
  <c r="K53" i="2"/>
  <c r="K29" i="2"/>
  <c r="K37" i="2"/>
  <c r="K657" i="2"/>
  <c r="K564" i="2"/>
  <c r="K659" i="2"/>
  <c r="K651" i="2"/>
  <c r="K643" i="2"/>
  <c r="K635" i="2"/>
  <c r="K627" i="2"/>
  <c r="K619" i="2"/>
  <c r="K611" i="2"/>
  <c r="K603" i="2"/>
  <c r="K595" i="2"/>
  <c r="K569" i="2"/>
  <c r="K559" i="2"/>
  <c r="K551" i="2"/>
  <c r="K543" i="2"/>
  <c r="K504" i="2"/>
  <c r="K496" i="2"/>
  <c r="K455" i="2"/>
  <c r="K447" i="2"/>
  <c r="K377" i="2"/>
  <c r="K260" i="2"/>
  <c r="K252" i="2"/>
  <c r="K228" i="2"/>
  <c r="K220" i="2"/>
  <c r="K202" i="2"/>
  <c r="K194" i="2"/>
  <c r="K186" i="2"/>
  <c r="K178" i="2"/>
  <c r="K170" i="2"/>
  <c r="K162" i="2"/>
  <c r="K154" i="2"/>
  <c r="K146" i="2"/>
  <c r="K138" i="2"/>
  <c r="K128" i="2"/>
  <c r="K113" i="2"/>
  <c r="K102" i="2"/>
  <c r="K94" i="2"/>
  <c r="K86" i="2"/>
  <c r="K78" i="2"/>
  <c r="K70" i="2"/>
  <c r="K62" i="2"/>
  <c r="K54" i="2"/>
  <c r="K46" i="2"/>
  <c r="K38" i="2"/>
  <c r="K30" i="2"/>
  <c r="K22" i="2"/>
  <c r="K14" i="2"/>
  <c r="K6" i="2"/>
  <c r="K541" i="2"/>
  <c r="K445" i="2"/>
  <c r="K375" i="2"/>
  <c r="K258" i="2"/>
  <c r="K234" i="2"/>
  <c r="K192" i="2"/>
  <c r="K184" i="2"/>
  <c r="K144" i="2"/>
  <c r="K136" i="2"/>
  <c r="K84" i="2"/>
  <c r="K76" i="2"/>
  <c r="K68" i="2"/>
  <c r="K28" i="2"/>
  <c r="K20" i="2"/>
  <c r="K12" i="2"/>
  <c r="K573" i="2"/>
  <c r="K547" i="2"/>
  <c r="K451" i="2"/>
  <c r="K98" i="2"/>
  <c r="K74" i="2"/>
  <c r="K50" i="2"/>
  <c r="K26" i="2"/>
  <c r="K2" i="2"/>
  <c r="K160" i="2"/>
  <c r="K453" i="2"/>
  <c r="K662" i="2"/>
  <c r="K654" i="2"/>
  <c r="K646" i="2"/>
  <c r="K638" i="2"/>
  <c r="K630" i="2"/>
  <c r="K622" i="2"/>
  <c r="K606" i="2"/>
  <c r="K598" i="2"/>
  <c r="K572" i="2"/>
  <c r="K528" i="2"/>
  <c r="K499" i="2"/>
  <c r="K458" i="2"/>
  <c r="K450" i="2"/>
  <c r="K380" i="2"/>
  <c r="K263" i="2"/>
  <c r="K255" i="2"/>
  <c r="K231" i="2"/>
  <c r="K223" i="2"/>
  <c r="K205" i="2"/>
  <c r="K197" i="2"/>
  <c r="K189" i="2"/>
  <c r="K181" i="2"/>
  <c r="K173" i="2"/>
  <c r="K165" i="2"/>
  <c r="K157" i="2"/>
  <c r="K149" i="2"/>
  <c r="K141" i="2"/>
  <c r="K133" i="2"/>
  <c r="K118" i="2"/>
  <c r="K494" i="2"/>
  <c r="K563" i="2"/>
  <c r="K539" i="2"/>
  <c r="K492" i="2"/>
  <c r="K443" i="2"/>
  <c r="K232" i="2"/>
  <c r="K206" i="2"/>
  <c r="K190" i="2"/>
  <c r="K174" i="2"/>
  <c r="K158" i="2"/>
  <c r="K150" i="2"/>
  <c r="K119" i="2"/>
  <c r="K90" i="2"/>
  <c r="K66" i="2"/>
  <c r="K42" i="2"/>
  <c r="K18" i="2"/>
  <c r="K152" i="2"/>
  <c r="K92" i="2"/>
  <c r="K226" i="2"/>
  <c r="K661" i="2"/>
  <c r="K653" i="2"/>
  <c r="K645" i="2"/>
  <c r="K637" i="2"/>
  <c r="K629" i="2"/>
  <c r="K621" i="2"/>
  <c r="K613" i="2"/>
  <c r="K605" i="2"/>
  <c r="K597" i="2"/>
  <c r="K571" i="2"/>
  <c r="K379" i="2"/>
  <c r="K262" i="2"/>
  <c r="K254" i="2"/>
  <c r="K230" i="2"/>
  <c r="K222" i="2"/>
  <c r="K204" i="2"/>
  <c r="K196" i="2"/>
  <c r="K188" i="2"/>
  <c r="K180" i="2"/>
  <c r="K172" i="2"/>
  <c r="K164" i="2"/>
  <c r="K156" i="2"/>
  <c r="K148" i="2"/>
  <c r="K140" i="2"/>
  <c r="K132" i="2"/>
  <c r="K117" i="2"/>
  <c r="K104" i="2"/>
  <c r="K96" i="2"/>
  <c r="K88" i="2"/>
  <c r="K80" i="2"/>
  <c r="K72" i="2"/>
  <c r="K64" i="2"/>
  <c r="K56" i="2"/>
  <c r="K48" i="2"/>
  <c r="K40" i="2"/>
  <c r="K32" i="2"/>
  <c r="K24" i="2"/>
  <c r="K16" i="2"/>
  <c r="K555" i="2"/>
  <c r="K500" i="2"/>
  <c r="K264" i="2"/>
  <c r="K256" i="2"/>
  <c r="K224" i="2"/>
  <c r="K198" i="2"/>
  <c r="K182" i="2"/>
  <c r="K166" i="2"/>
  <c r="K142" i="2"/>
  <c r="K106" i="2"/>
  <c r="K82" i="2"/>
  <c r="K58" i="2"/>
  <c r="K34" i="2"/>
  <c r="K10" i="2"/>
  <c r="K134" i="2"/>
  <c r="K60" i="2"/>
  <c r="K122" i="2"/>
  <c r="K660" i="2"/>
  <c r="K652" i="2"/>
  <c r="K644" i="2"/>
  <c r="K636" i="2"/>
  <c r="K628" i="2"/>
  <c r="K620" i="2"/>
  <c r="K612" i="2"/>
  <c r="K604" i="2"/>
  <c r="K596" i="2"/>
  <c r="K560" i="2"/>
  <c r="K552" i="2"/>
  <c r="K544" i="2"/>
  <c r="K526" i="2"/>
  <c r="K456" i="2"/>
  <c r="K448" i="2"/>
  <c r="K378" i="2"/>
  <c r="K261" i="2"/>
  <c r="K253" i="2"/>
  <c r="K229" i="2"/>
  <c r="K221" i="2"/>
  <c r="K203" i="2"/>
  <c r="K195" i="2"/>
  <c r="K187" i="2"/>
  <c r="K179" i="2"/>
  <c r="K171" i="2"/>
  <c r="K163" i="2"/>
  <c r="K155" i="2"/>
  <c r="K147" i="2"/>
  <c r="K139" i="2"/>
  <c r="K131" i="2"/>
  <c r="K114" i="2"/>
  <c r="K103" i="2"/>
  <c r="K95" i="2"/>
  <c r="K87" i="2"/>
  <c r="K79" i="2"/>
  <c r="K71" i="2"/>
  <c r="K47" i="2"/>
  <c r="K39" i="2"/>
  <c r="K31" i="2"/>
  <c r="K23" i="2"/>
  <c r="K550" i="2"/>
</calcChain>
</file>

<file path=xl/sharedStrings.xml><?xml version="1.0" encoding="utf-8"?>
<sst xmlns="http://schemas.openxmlformats.org/spreadsheetml/2006/main" count="1347" uniqueCount="32">
  <si>
    <t>№</t>
  </si>
  <si>
    <t>Sat</t>
  </si>
  <si>
    <t>Aro</t>
  </si>
  <si>
    <t>Res</t>
  </si>
  <si>
    <t>Asph</t>
  </si>
  <si>
    <t>B-Res</t>
  </si>
  <si>
    <t>SB-Res</t>
  </si>
  <si>
    <t>Total</t>
  </si>
  <si>
    <t>Total OM</t>
  </si>
  <si>
    <t xml:space="preserve"> </t>
  </si>
  <si>
    <t>organic_matter</t>
  </si>
  <si>
    <t>смешанное ов</t>
  </si>
  <si>
    <t>oxidation</t>
  </si>
  <si>
    <t>biodegredation</t>
  </si>
  <si>
    <t>thermal_alteration</t>
  </si>
  <si>
    <t>степень преобразованности</t>
  </si>
  <si>
    <t>high</t>
  </si>
  <si>
    <t>low</t>
  </si>
  <si>
    <t>морское</t>
  </si>
  <si>
    <t>террагенное</t>
  </si>
  <si>
    <t>0</t>
  </si>
  <si>
    <t>1</t>
  </si>
  <si>
    <t>asph-res</t>
  </si>
  <si>
    <t>res-aro</t>
  </si>
  <si>
    <t>aro-sat</t>
  </si>
  <si>
    <t>mean</t>
  </si>
  <si>
    <t>migration_in</t>
  </si>
  <si>
    <t>migration_out</t>
  </si>
  <si>
    <t>heavy-light</t>
  </si>
  <si>
    <t>min(heavy)-min(light)</t>
  </si>
  <si>
    <t>min(heavy)-max(light)</t>
  </si>
  <si>
    <t>min(heavy)-mean(light)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</si>
</sst>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2"/>
      <color theme="1"/>
      <name val="Calibri"/>
      <family val="2"/>
      <charset val="204"/>
      <scheme val="minor"/>
    </font>
    <font>
      <sz val="11"/>
      <color theme="1"/>
      <name val="Times New Roman"/>
      <family val="2"/>
      <charset val="204"/>
    </font>
    <font>
      <sz val="11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2"/>
      <color indexed="2"/>
      <name val="Times New Roman"/>
      <family val="1"/>
      <charset val="204"/>
    </font>
    <font>
      <sz val="12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7"/>
      <color rgb="FF000000"/>
      <name val="Arial"/>
      <family val="2"/>
      <charset val="204"/>
    </font>
    <font>
      <sz val="11"/>
      <color rgb="FFFF0000"/>
      <name val="Calibri"/>
      <family val="2"/>
      <scheme val="minor"/>
    </font>
    <font>
      <sz val="9"/>
      <color theme="1" tint="4.9989318521683403E-2"/>
      <name val="Segoe UI"/>
      <family val="2"/>
      <charset val="204"/>
    </font>
    <font>
      <b/>
      <sz val="14"/>
      <color theme="1" tint="4.9989318521683403E-2"/>
      <name val="Times New Roman"/>
      <family val="1"/>
      <charset val="204"/>
    </font>
    <font>
      <sz val="12"/>
      <color theme="1" tint="4.9989318521683403E-2"/>
      <name val="Calibri"/>
      <family val="2"/>
      <charset val="204"/>
      <scheme val="minor"/>
    </font>
    <font>
      <sz val="12"/>
      <color theme="1" tint="4.9989318521683403E-2"/>
      <name val="Times New Roman"/>
      <family val="1"/>
      <charset val="204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26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CC"/>
        <bgColor indexed="26"/>
      </patternFill>
    </fill>
    <fill>
      <patternFill patternType="solid">
        <fgColor rgb="FFFFFFCC"/>
        <bgColor indexed="64"/>
      </patternFill>
    </fill>
    <fill>
      <patternFill patternType="solid">
        <fgColor rgb="FFFF99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">
    <xf numFmtId="0" fontId="0" fillId="0" borderId="0"/>
    <xf numFmtId="0" fontId="2" fillId="0" borderId="0"/>
    <xf numFmtId="0" fontId="4" fillId="0" borderId="0"/>
    <xf numFmtId="0" fontId="1" fillId="0" borderId="0"/>
    <xf numFmtId="0" fontId="10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2" fillId="0" borderId="0"/>
    <xf numFmtId="0" fontId="10" fillId="0" borderId="0"/>
    <xf numFmtId="0" fontId="10" fillId="0" borderId="0"/>
    <xf numFmtId="0" fontId="1" fillId="0" borderId="0"/>
  </cellStyleXfs>
  <cellXfs count="140">
    <xf numFmtId="0" fontId="0" fillId="0" borderId="0" xfId="0"/>
    <xf numFmtId="49" fontId="3" fillId="2" borderId="1" xfId="1" applyNumberFormat="1" applyFont="1" applyFill="1" applyBorder="1" applyAlignment="1">
      <alignment horizontal="center" vertical="center" wrapText="1" shrinkToFit="1"/>
    </xf>
    <xf numFmtId="49" fontId="3" fillId="2" borderId="1" xfId="1" applyNumberFormat="1" applyFont="1" applyFill="1" applyBorder="1" applyAlignment="1">
      <alignment horizontal="left" vertical="center" wrapText="1" shrinkToFit="1"/>
    </xf>
    <xf numFmtId="0" fontId="3" fillId="2" borderId="1" xfId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left" vertical="center"/>
    </xf>
    <xf numFmtId="2" fontId="5" fillId="0" borderId="0" xfId="1" applyNumberFormat="1" applyFont="1" applyAlignment="1">
      <alignment horizontal="left" vertical="center"/>
    </xf>
    <xf numFmtId="0" fontId="5" fillId="0" borderId="0" xfId="1" applyFont="1" applyAlignment="1">
      <alignment horizontal="center" vertical="center"/>
    </xf>
    <xf numFmtId="0" fontId="5" fillId="0" borderId="0" xfId="0" applyFont="1" applyAlignment="1">
      <alignment horizontal="left"/>
    </xf>
    <xf numFmtId="0" fontId="8" fillId="0" borderId="0" xfId="1" applyFont="1" applyAlignment="1">
      <alignment horizontal="left" vertical="center"/>
    </xf>
    <xf numFmtId="2" fontId="8" fillId="0" borderId="0" xfId="1" applyNumberFormat="1" applyFont="1" applyAlignment="1">
      <alignment horizontal="left" vertical="center"/>
    </xf>
    <xf numFmtId="2" fontId="8" fillId="0" borderId="0" xfId="1" applyNumberFormat="1" applyFont="1" applyAlignment="1">
      <alignment horizontal="center" vertical="center"/>
    </xf>
    <xf numFmtId="164" fontId="5" fillId="0" borderId="0" xfId="1" applyNumberFormat="1" applyFont="1" applyAlignment="1">
      <alignment horizontal="left" vertical="center"/>
    </xf>
    <xf numFmtId="164" fontId="5" fillId="0" borderId="0" xfId="1" applyNumberFormat="1" applyFont="1" applyAlignment="1">
      <alignment vertical="center"/>
    </xf>
    <xf numFmtId="1" fontId="5" fillId="0" borderId="0" xfId="0" applyNumberFormat="1" applyFont="1" applyAlignment="1">
      <alignment horizontal="left" vertical="center"/>
    </xf>
    <xf numFmtId="2" fontId="8" fillId="0" borderId="0" xfId="0" applyNumberFormat="1" applyFont="1" applyAlignment="1">
      <alignment horizontal="left" vertical="center"/>
    </xf>
    <xf numFmtId="2" fontId="5" fillId="0" borderId="0" xfId="3" applyNumberFormat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2" fontId="9" fillId="0" borderId="0" xfId="0" applyNumberFormat="1" applyFont="1" applyAlignment="1">
      <alignment horizontal="left" vertical="center"/>
    </xf>
    <xf numFmtId="2" fontId="8" fillId="0" borderId="0" xfId="5" applyNumberFormat="1" applyFont="1" applyAlignment="1">
      <alignment horizontal="left" vertical="center"/>
    </xf>
    <xf numFmtId="2" fontId="5" fillId="0" borderId="0" xfId="0" applyNumberFormat="1" applyFont="1" applyAlignment="1">
      <alignment horizontal="left"/>
    </xf>
    <xf numFmtId="0" fontId="0" fillId="0" borderId="1" xfId="0" applyBorder="1"/>
    <xf numFmtId="2" fontId="6" fillId="3" borderId="0" xfId="0" applyNumberFormat="1" applyFont="1" applyFill="1" applyAlignment="1">
      <alignment horizontal="left" vertical="top" wrapText="1"/>
    </xf>
    <xf numFmtId="2" fontId="6" fillId="0" borderId="0" xfId="0" applyNumberFormat="1" applyFont="1" applyAlignment="1">
      <alignment horizontal="left" vertical="top" wrapText="1"/>
    </xf>
    <xf numFmtId="2" fontId="5" fillId="0" borderId="0" xfId="0" applyNumberFormat="1" applyFont="1" applyAlignment="1">
      <alignment horizontal="left" vertical="top"/>
    </xf>
    <xf numFmtId="2" fontId="6" fillId="0" borderId="0" xfId="0" applyNumberFormat="1" applyFont="1" applyAlignment="1">
      <alignment vertical="center" wrapText="1"/>
    </xf>
    <xf numFmtId="2" fontId="0" fillId="0" borderId="0" xfId="0" applyNumberFormat="1"/>
    <xf numFmtId="2" fontId="6" fillId="4" borderId="0" xfId="0" applyNumberFormat="1" applyFont="1" applyFill="1" applyAlignment="1">
      <alignment horizontal="left" vertical="top" wrapText="1"/>
    </xf>
    <xf numFmtId="2" fontId="6" fillId="4" borderId="0" xfId="0" applyNumberFormat="1" applyFont="1" applyFill="1" applyAlignment="1">
      <alignment vertical="top" wrapText="1"/>
    </xf>
    <xf numFmtId="2" fontId="4" fillId="0" borderId="0" xfId="0" applyNumberFormat="1" applyFont="1"/>
    <xf numFmtId="0" fontId="4" fillId="0" borderId="0" xfId="0" applyFont="1"/>
    <xf numFmtId="2" fontId="5" fillId="0" borderId="0" xfId="0" applyNumberFormat="1" applyFont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5" fillId="4" borderId="0" xfId="0" applyFont="1" applyFill="1" applyAlignment="1">
      <alignment horizontal="left" vertical="center" wrapText="1"/>
    </xf>
    <xf numFmtId="0" fontId="12" fillId="0" borderId="0" xfId="9"/>
    <xf numFmtId="0" fontId="13" fillId="0" borderId="0" xfId="0" applyFont="1"/>
    <xf numFmtId="0" fontId="14" fillId="0" borderId="0" xfId="0" applyFont="1"/>
    <xf numFmtId="0" fontId="5" fillId="5" borderId="0" xfId="0" applyFont="1" applyFill="1" applyAlignment="1">
      <alignment horizontal="center" vertical="center"/>
    </xf>
    <xf numFmtId="0" fontId="5" fillId="5" borderId="0" xfId="1" applyFont="1" applyFill="1" applyAlignment="1">
      <alignment horizontal="left" vertical="center"/>
    </xf>
    <xf numFmtId="49" fontId="5" fillId="5" borderId="0" xfId="0" applyNumberFormat="1" applyFont="1" applyFill="1" applyAlignment="1">
      <alignment horizontal="left" vertical="center"/>
    </xf>
    <xf numFmtId="0" fontId="5" fillId="5" borderId="0" xfId="0" applyFont="1" applyFill="1" applyAlignment="1">
      <alignment horizontal="left" vertical="center"/>
    </xf>
    <xf numFmtId="2" fontId="5" fillId="5" borderId="0" xfId="1" applyNumberFormat="1" applyFont="1" applyFill="1" applyAlignment="1">
      <alignment horizontal="left" vertical="center"/>
    </xf>
    <xf numFmtId="2" fontId="5" fillId="5" borderId="0" xfId="0" applyNumberFormat="1" applyFont="1" applyFill="1" applyAlignment="1">
      <alignment horizontal="left" vertical="center"/>
    </xf>
    <xf numFmtId="2" fontId="4" fillId="5" borderId="0" xfId="0" applyNumberFormat="1" applyFont="1" applyFill="1"/>
    <xf numFmtId="0" fontId="0" fillId="5" borderId="0" xfId="0" applyFill="1"/>
    <xf numFmtId="2" fontId="0" fillId="5" borderId="0" xfId="0" applyNumberFormat="1" applyFill="1"/>
    <xf numFmtId="0" fontId="5" fillId="5" borderId="0" xfId="1" applyFont="1" applyFill="1" applyAlignment="1">
      <alignment horizontal="center" vertical="center"/>
    </xf>
    <xf numFmtId="0" fontId="8" fillId="5" borderId="0" xfId="1" applyFont="1" applyFill="1" applyAlignment="1">
      <alignment horizontal="left" vertical="center"/>
    </xf>
    <xf numFmtId="0" fontId="7" fillId="5" borderId="0" xfId="1" applyFont="1" applyFill="1" applyAlignment="1">
      <alignment horizontal="center" vertical="center"/>
    </xf>
    <xf numFmtId="0" fontId="5" fillId="6" borderId="0" xfId="1" applyFont="1" applyFill="1" applyAlignment="1">
      <alignment horizontal="center" vertical="center"/>
    </xf>
    <xf numFmtId="0" fontId="5" fillId="6" borderId="0" xfId="1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2" fontId="5" fillId="6" borderId="0" xfId="1" applyNumberFormat="1" applyFont="1" applyFill="1" applyAlignment="1">
      <alignment horizontal="left" vertical="center"/>
    </xf>
    <xf numFmtId="0" fontId="8" fillId="6" borderId="0" xfId="1" applyFont="1" applyFill="1" applyAlignment="1">
      <alignment horizontal="left" vertical="center"/>
    </xf>
    <xf numFmtId="2" fontId="4" fillId="6" borderId="0" xfId="0" applyNumberFormat="1" applyFont="1" applyFill="1"/>
    <xf numFmtId="0" fontId="0" fillId="6" borderId="0" xfId="0" applyFill="1"/>
    <xf numFmtId="0" fontId="5" fillId="5" borderId="0" xfId="0" applyFont="1" applyFill="1" applyAlignment="1">
      <alignment horizontal="left"/>
    </xf>
    <xf numFmtId="0" fontId="5" fillId="6" borderId="0" xfId="0" applyFont="1" applyFill="1" applyAlignment="1">
      <alignment horizontal="center" vertical="center"/>
    </xf>
    <xf numFmtId="2" fontId="5" fillId="6" borderId="0" xfId="0" applyNumberFormat="1" applyFont="1" applyFill="1" applyAlignment="1">
      <alignment horizontal="left" vertical="center"/>
    </xf>
    <xf numFmtId="0" fontId="9" fillId="5" borderId="0" xfId="0" applyFont="1" applyFill="1" applyAlignment="1">
      <alignment horizontal="left" vertical="center"/>
    </xf>
    <xf numFmtId="2" fontId="8" fillId="5" borderId="0" xfId="0" applyNumberFormat="1" applyFont="1" applyFill="1" applyAlignment="1">
      <alignment horizontal="left" vertical="center"/>
    </xf>
    <xf numFmtId="2" fontId="9" fillId="5" borderId="0" xfId="0" applyNumberFormat="1" applyFont="1" applyFill="1" applyAlignment="1">
      <alignment horizontal="left" vertical="center"/>
    </xf>
    <xf numFmtId="2" fontId="8" fillId="5" borderId="0" xfId="4" applyNumberFormat="1" applyFont="1" applyFill="1" applyAlignment="1">
      <alignment horizontal="left" vertical="center"/>
    </xf>
    <xf numFmtId="2" fontId="8" fillId="5" borderId="0" xfId="5" applyNumberFormat="1" applyFont="1" applyFill="1" applyAlignment="1">
      <alignment horizontal="left" vertical="center"/>
    </xf>
    <xf numFmtId="0" fontId="5" fillId="5" borderId="0" xfId="1" applyFont="1" applyFill="1" applyAlignment="1">
      <alignment vertical="center"/>
    </xf>
    <xf numFmtId="164" fontId="5" fillId="5" borderId="0" xfId="1" applyNumberFormat="1" applyFont="1" applyFill="1" applyAlignment="1">
      <alignment horizontal="left" vertical="center"/>
    </xf>
    <xf numFmtId="164" fontId="5" fillId="5" borderId="0" xfId="1" applyNumberFormat="1" applyFont="1" applyFill="1" applyAlignment="1">
      <alignment vertical="center"/>
    </xf>
    <xf numFmtId="2" fontId="8" fillId="5" borderId="0" xfId="1" applyNumberFormat="1" applyFont="1" applyFill="1" applyAlignment="1">
      <alignment horizontal="left" vertical="center"/>
    </xf>
    <xf numFmtId="2" fontId="8" fillId="5" borderId="0" xfId="1" applyNumberFormat="1" applyFont="1" applyFill="1" applyAlignment="1">
      <alignment horizontal="center" vertical="center"/>
    </xf>
    <xf numFmtId="0" fontId="5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2" fontId="6" fillId="3" borderId="0" xfId="0" applyNumberFormat="1" applyFont="1" applyFill="1" applyAlignment="1">
      <alignment vertical="top" wrapText="1"/>
    </xf>
    <xf numFmtId="0" fontId="0" fillId="3" borderId="0" xfId="0" applyFill="1" applyAlignment="1">
      <alignment vertical="top"/>
    </xf>
    <xf numFmtId="2" fontId="4" fillId="0" borderId="0" xfId="0" applyNumberFormat="1" applyFont="1" applyAlignment="1">
      <alignment vertical="top"/>
    </xf>
    <xf numFmtId="2" fontId="6" fillId="0" borderId="0" xfId="0" applyNumberFormat="1" applyFont="1" applyAlignment="1">
      <alignment vertical="top" wrapText="1"/>
    </xf>
    <xf numFmtId="2" fontId="0" fillId="0" borderId="0" xfId="0" applyNumberFormat="1" applyAlignment="1">
      <alignment vertical="top"/>
    </xf>
    <xf numFmtId="2" fontId="5" fillId="5" borderId="0" xfId="0" applyNumberFormat="1" applyFont="1" applyFill="1" applyAlignment="1">
      <alignment horizontal="left"/>
    </xf>
    <xf numFmtId="0" fontId="15" fillId="0" borderId="0" xfId="0" applyFont="1" applyAlignment="1">
      <alignment horizontal="left" vertical="center" wrapText="1" indent="1"/>
    </xf>
    <xf numFmtId="0" fontId="3" fillId="0" borderId="1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center" wrapText="1"/>
    </xf>
    <xf numFmtId="0" fontId="12" fillId="5" borderId="0" xfId="9" applyFill="1"/>
    <xf numFmtId="0" fontId="4" fillId="5" borderId="0" xfId="0" applyFont="1" applyFill="1"/>
    <xf numFmtId="0" fontId="15" fillId="5" borderId="0" xfId="0" applyFont="1" applyFill="1" applyAlignment="1">
      <alignment horizontal="left" vertical="center" wrapText="1" indent="1"/>
    </xf>
    <xf numFmtId="0" fontId="0" fillId="5" borderId="0" xfId="0" applyFill="1" applyAlignment="1">
      <alignment vertical="top"/>
    </xf>
    <xf numFmtId="0" fontId="0" fillId="0" borderId="1" xfId="0" applyBorder="1" applyAlignment="1">
      <alignment vertical="top" wrapText="1"/>
    </xf>
    <xf numFmtId="0" fontId="5" fillId="7" borderId="0" xfId="0" applyFont="1" applyFill="1" applyAlignment="1">
      <alignment horizontal="center" vertical="center"/>
    </xf>
    <xf numFmtId="2" fontId="5" fillId="7" borderId="0" xfId="1" applyNumberFormat="1" applyFont="1" applyFill="1" applyAlignment="1">
      <alignment horizontal="left" vertical="center"/>
    </xf>
    <xf numFmtId="2" fontId="5" fillId="7" borderId="0" xfId="0" applyNumberFormat="1" applyFont="1" applyFill="1" applyAlignment="1">
      <alignment horizontal="left" vertical="center"/>
    </xf>
    <xf numFmtId="49" fontId="5" fillId="7" borderId="0" xfId="0" applyNumberFormat="1" applyFont="1" applyFill="1" applyAlignment="1">
      <alignment horizontal="left" vertical="center"/>
    </xf>
    <xf numFmtId="0" fontId="4" fillId="7" borderId="0" xfId="0" applyFont="1" applyFill="1"/>
    <xf numFmtId="2" fontId="4" fillId="7" borderId="0" xfId="0" applyNumberFormat="1" applyFont="1" applyFill="1"/>
    <xf numFmtId="0" fontId="0" fillId="7" borderId="0" xfId="0" applyFill="1"/>
    <xf numFmtId="0" fontId="17" fillId="0" borderId="0" xfId="0" applyFont="1" applyAlignment="1">
      <alignment horizontal="right" vertical="top"/>
    </xf>
    <xf numFmtId="0" fontId="0" fillId="0" borderId="0" xfId="0" applyAlignment="1">
      <alignment horizontal="right" vertical="top"/>
    </xf>
    <xf numFmtId="49" fontId="17" fillId="0" borderId="0" xfId="0" applyNumberFormat="1" applyFont="1" applyAlignment="1">
      <alignment horizontal="right" vertical="top"/>
    </xf>
    <xf numFmtId="49" fontId="18" fillId="7" borderId="0" xfId="0" applyNumberFormat="1" applyFont="1" applyFill="1" applyAlignment="1">
      <alignment horizontal="right" vertical="top"/>
    </xf>
    <xf numFmtId="0" fontId="0" fillId="7" borderId="0" xfId="0" applyFill="1" applyAlignment="1">
      <alignment horizontal="right" vertical="top"/>
    </xf>
    <xf numFmtId="49" fontId="18" fillId="5" borderId="0" xfId="0" applyNumberFormat="1" applyFont="1" applyFill="1" applyAlignment="1">
      <alignment horizontal="right" vertical="top"/>
    </xf>
    <xf numFmtId="0" fontId="0" fillId="5" borderId="0" xfId="0" applyFill="1" applyAlignment="1">
      <alignment horizontal="right" vertical="top"/>
    </xf>
    <xf numFmtId="49" fontId="18" fillId="0" borderId="0" xfId="0" applyNumberFormat="1" applyFont="1" applyAlignment="1">
      <alignment horizontal="right" vertical="top"/>
    </xf>
    <xf numFmtId="0" fontId="17" fillId="7" borderId="0" xfId="0" applyFont="1" applyFill="1" applyAlignment="1">
      <alignment horizontal="right" vertical="top"/>
    </xf>
    <xf numFmtId="0" fontId="18" fillId="5" borderId="0" xfId="1" applyFont="1" applyFill="1" applyAlignment="1">
      <alignment horizontal="right" vertical="top" wrapText="1"/>
    </xf>
    <xf numFmtId="0" fontId="18" fillId="7" borderId="0" xfId="1" applyFont="1" applyFill="1" applyAlignment="1">
      <alignment horizontal="right" vertical="top" wrapText="1"/>
    </xf>
    <xf numFmtId="0" fontId="18" fillId="5" borderId="0" xfId="1" applyFont="1" applyFill="1" applyAlignment="1">
      <alignment horizontal="right" vertical="top"/>
    </xf>
    <xf numFmtId="0" fontId="18" fillId="0" borderId="0" xfId="1" applyFont="1" applyAlignment="1">
      <alignment horizontal="right" vertical="top"/>
    </xf>
    <xf numFmtId="0" fontId="18" fillId="0" borderId="0" xfId="1" applyFont="1" applyAlignment="1">
      <alignment horizontal="right" vertical="top" wrapText="1"/>
    </xf>
    <xf numFmtId="0" fontId="17" fillId="5" borderId="0" xfId="0" applyFont="1" applyFill="1" applyAlignment="1">
      <alignment horizontal="right" vertical="top"/>
    </xf>
    <xf numFmtId="0" fontId="18" fillId="6" borderId="0" xfId="1" applyFont="1" applyFill="1" applyAlignment="1">
      <alignment horizontal="right" vertical="top"/>
    </xf>
    <xf numFmtId="0" fontId="0" fillId="6" borderId="0" xfId="0" applyFill="1" applyAlignment="1">
      <alignment horizontal="right" vertical="top"/>
    </xf>
    <xf numFmtId="0" fontId="18" fillId="0" borderId="0" xfId="0" applyFont="1" applyAlignment="1">
      <alignment horizontal="right" vertical="top"/>
    </xf>
    <xf numFmtId="0" fontId="5" fillId="0" borderId="0" xfId="0" applyFont="1" applyAlignment="1">
      <alignment horizontal="right" vertical="top"/>
    </xf>
    <xf numFmtId="0" fontId="18" fillId="6" borderId="0" xfId="0" applyFont="1" applyFill="1" applyAlignment="1">
      <alignment horizontal="right" vertical="top"/>
    </xf>
    <xf numFmtId="0" fontId="18" fillId="5" borderId="0" xfId="0" applyFont="1" applyFill="1" applyAlignment="1">
      <alignment horizontal="right" vertical="top"/>
    </xf>
    <xf numFmtId="0" fontId="5" fillId="6" borderId="0" xfId="0" applyFont="1" applyFill="1" applyAlignment="1">
      <alignment horizontal="right" vertical="top"/>
    </xf>
    <xf numFmtId="0" fontId="16" fillId="8" borderId="1" xfId="1" applyFont="1" applyFill="1" applyBorder="1" applyAlignment="1">
      <alignment horizontal="right" vertical="top"/>
    </xf>
    <xf numFmtId="0" fontId="0" fillId="9" borderId="1" xfId="0" applyFill="1" applyBorder="1" applyAlignment="1">
      <alignment horizontal="right" vertical="top"/>
    </xf>
    <xf numFmtId="0" fontId="0" fillId="9" borderId="1" xfId="0" applyFill="1" applyBorder="1" applyAlignment="1">
      <alignment horizontal="right" vertical="top" wrapText="1"/>
    </xf>
    <xf numFmtId="0" fontId="5" fillId="10" borderId="0" xfId="0" applyFont="1" applyFill="1" applyAlignment="1">
      <alignment horizontal="center" vertical="center"/>
    </xf>
    <xf numFmtId="2" fontId="5" fillId="10" borderId="0" xfId="1" applyNumberFormat="1" applyFont="1" applyFill="1" applyAlignment="1">
      <alignment horizontal="left" vertical="center"/>
    </xf>
    <xf numFmtId="2" fontId="5" fillId="10" borderId="0" xfId="0" applyNumberFormat="1" applyFont="1" applyFill="1" applyAlignment="1">
      <alignment horizontal="left" vertical="center"/>
    </xf>
    <xf numFmtId="49" fontId="5" fillId="10" borderId="0" xfId="0" applyNumberFormat="1" applyFont="1" applyFill="1" applyAlignment="1">
      <alignment horizontal="left" vertical="center"/>
    </xf>
    <xf numFmtId="0" fontId="4" fillId="10" borderId="0" xfId="0" applyFont="1" applyFill="1"/>
    <xf numFmtId="2" fontId="4" fillId="10" borderId="0" xfId="0" applyNumberFormat="1" applyFont="1" applyFill="1"/>
    <xf numFmtId="0" fontId="17" fillId="10" borderId="0" xfId="0" applyFont="1" applyFill="1" applyAlignment="1">
      <alignment horizontal="right" vertical="top"/>
    </xf>
    <xf numFmtId="0" fontId="0" fillId="10" borderId="0" xfId="0" applyFill="1" applyAlignment="1">
      <alignment horizontal="right" vertical="top"/>
    </xf>
    <xf numFmtId="0" fontId="0" fillId="10" borderId="0" xfId="0" applyFill="1"/>
    <xf numFmtId="0" fontId="3" fillId="2" borderId="1" xfId="1" applyFont="1" applyFill="1" applyBorder="1" applyAlignment="1">
      <alignment horizontal="center" vertical="center" wrapText="1"/>
    </xf>
    <xf numFmtId="49" fontId="18" fillId="10" borderId="0" xfId="0" applyNumberFormat="1" applyFont="1" applyFill="1" applyAlignment="1">
      <alignment horizontal="right" vertical="top"/>
    </xf>
    <xf numFmtId="0" fontId="5" fillId="10" borderId="0" xfId="1" applyFont="1" applyFill="1" applyAlignment="1">
      <alignment horizontal="center" vertical="center"/>
    </xf>
    <xf numFmtId="0" fontId="8" fillId="10" borderId="0" xfId="1" applyFont="1" applyFill="1" applyAlignment="1">
      <alignment horizontal="left" vertical="center"/>
    </xf>
    <xf numFmtId="0" fontId="5" fillId="10" borderId="0" xfId="1" applyFont="1" applyFill="1" applyAlignment="1">
      <alignment horizontal="left" vertical="center"/>
    </xf>
    <xf numFmtId="0" fontId="18" fillId="10" borderId="0" xfId="1" applyFont="1" applyFill="1" applyAlignment="1">
      <alignment horizontal="right" vertical="top"/>
    </xf>
    <xf numFmtId="2" fontId="8" fillId="10" borderId="0" xfId="1" applyNumberFormat="1" applyFont="1" applyFill="1" applyAlignment="1">
      <alignment horizontal="left" vertical="center"/>
    </xf>
    <xf numFmtId="2" fontId="8" fillId="10" borderId="0" xfId="1" applyNumberFormat="1" applyFont="1" applyFill="1" applyAlignment="1">
      <alignment horizontal="center" vertical="center"/>
    </xf>
  </cellXfs>
  <cellStyles count="13">
    <cellStyle name="Обычный" xfId="0" builtinId="0"/>
    <cellStyle name="Обычный 10" xfId="11" xr:uid="{98951C01-B089-4DF5-BDA4-D145F21EB227}"/>
    <cellStyle name="Обычный 12" xfId="3" xr:uid="{1FC94D7E-B015-467A-95B4-A552BC9B57E5}"/>
    <cellStyle name="Обычный 13" xfId="2" xr:uid="{10FB983B-C266-46D8-BA8F-34A31C944C86}"/>
    <cellStyle name="Обычный 17" xfId="10" xr:uid="{40C0704B-FF55-42D9-8D0D-376EB06A9DC7}"/>
    <cellStyle name="Обычный 2" xfId="1" xr:uid="{A7B44186-022F-4753-98E5-A2A7F28A0C8D}"/>
    <cellStyle name="Обычный 3" xfId="12" xr:uid="{34904A0B-52B6-4250-BC3C-5ED5F0A6EADF}"/>
    <cellStyle name="Обычный 3 2" xfId="8" xr:uid="{F5E5823F-95C0-419C-8E2A-03D4E159D2B4}"/>
    <cellStyle name="Обычный 4" xfId="6" xr:uid="{4451A22D-57F9-4881-B40F-D4BCF532BB43}"/>
    <cellStyle name="Обычный 5" xfId="5" xr:uid="{90656B1C-9682-4FC7-8E15-296AE59AA981}"/>
    <cellStyle name="Обычный 6" xfId="9" xr:uid="{2EB20274-B4D0-4A9C-AB44-87DD0E99F9FA}"/>
    <cellStyle name="Обычный 7" xfId="4" xr:uid="{5B901240-1866-4B6F-83DA-C8560F5A516D}"/>
    <cellStyle name="Обычный 8" xfId="7" xr:uid="{B9C2A0FA-9463-4003-9A40-302B9E2458F7}"/>
  </cellStyles>
  <dxfs count="0"/>
  <tableStyles count="0" defaultTableStyle="TableStyleMedium2" defaultPivotStyle="PivotStyleLight16"/>
  <colors>
    <mruColors>
      <color rgb="FFFF9900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CABD2-16B1-40ED-870D-9B83ABD582AF}">
  <dimension ref="A1:AE834"/>
  <sheetViews>
    <sheetView tabSelected="1" zoomScale="77" zoomScaleNormal="60" workbookViewId="0">
      <pane xSplit="1" ySplit="1" topLeftCell="B191" activePane="bottomRight" state="frozen"/>
      <selection pane="topRight" activeCell="B1" sqref="B1"/>
      <selection pane="bottomLeft" activeCell="A2" sqref="A2"/>
      <selection pane="bottomRight" activeCell="B205" sqref="B205"/>
    </sheetView>
  </sheetViews>
  <sheetFormatPr defaultRowHeight="15.6" x14ac:dyDescent="0.3"/>
  <cols>
    <col min="2" max="2" width="8.19921875" customWidth="1"/>
    <col min="3" max="3" width="8.3984375" customWidth="1"/>
    <col min="4" max="4" width="10.3984375" customWidth="1"/>
    <col min="10" max="10" width="16.59765625" bestFit="1" customWidth="1"/>
    <col min="12" max="12" width="9.5" bestFit="1" customWidth="1"/>
    <col min="15" max="15" width="8.19921875" customWidth="1"/>
    <col min="16" max="18" width="10.5" customWidth="1"/>
    <col min="19" max="19" width="10.69921875" style="98" bestFit="1" customWidth="1"/>
    <col min="20" max="20" width="13.8984375" style="99" bestFit="1" customWidth="1"/>
    <col min="21" max="21" width="8.5" style="99" bestFit="1" customWidth="1"/>
    <col min="22" max="23" width="8.5" style="99" customWidth="1"/>
    <col min="24" max="24" width="15.59765625" customWidth="1"/>
    <col min="25" max="26" width="8.796875" customWidth="1"/>
    <col min="27" max="27" width="24" customWidth="1"/>
    <col min="28" max="28" width="15.59765625" customWidth="1"/>
    <col min="29" max="29" width="16.796875" style="33" bestFit="1" customWidth="1"/>
    <col min="30" max="30" width="16.796875" style="33" customWidth="1"/>
    <col min="31" max="31" width="19" customWidth="1"/>
    <col min="32" max="32" width="14.3984375" bestFit="1" customWidth="1"/>
  </cols>
  <sheetData>
    <row r="1" spans="1:30" s="24" customFormat="1" ht="69.599999999999994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81" t="s">
        <v>10</v>
      </c>
      <c r="K1" s="3" t="s">
        <v>25</v>
      </c>
      <c r="L1" s="3" t="s">
        <v>22</v>
      </c>
      <c r="M1" s="3" t="s">
        <v>23</v>
      </c>
      <c r="N1" s="3" t="s">
        <v>24</v>
      </c>
      <c r="O1" s="132" t="s">
        <v>28</v>
      </c>
      <c r="P1" s="132" t="s">
        <v>29</v>
      </c>
      <c r="Q1" s="132" t="s">
        <v>30</v>
      </c>
      <c r="R1" s="132" t="s">
        <v>31</v>
      </c>
      <c r="S1" s="120" t="s">
        <v>12</v>
      </c>
      <c r="T1" s="121" t="s">
        <v>13</v>
      </c>
      <c r="U1" s="122" t="s">
        <v>14</v>
      </c>
      <c r="V1" s="122" t="s">
        <v>27</v>
      </c>
      <c r="W1" s="122" t="s">
        <v>26</v>
      </c>
      <c r="X1" s="90" t="s">
        <v>15</v>
      </c>
    </row>
    <row r="2" spans="1:30" s="131" customFormat="1" x14ac:dyDescent="0.3">
      <c r="A2" s="123">
        <v>230</v>
      </c>
      <c r="B2" s="124">
        <v>-27.652583025830257</v>
      </c>
      <c r="C2" s="124">
        <v>-26.061425691566804</v>
      </c>
      <c r="D2" s="125">
        <f t="shared" ref="D2:D33" si="0">IF(AND(ISBLANK(F2),ISBLANK(G2)),"",IF(ISBLANK(F2),G2,IF(ISBLANK(G2),F2,(G2+F2)/2)))</f>
        <v>-26.094482452243447</v>
      </c>
      <c r="E2" s="124">
        <v>-25.708339483394834</v>
      </c>
      <c r="F2" s="124">
        <v>-26.044454686805867</v>
      </c>
      <c r="G2" s="124">
        <v>-26.144510217681031</v>
      </c>
      <c r="H2" s="126"/>
      <c r="I2" s="126"/>
      <c r="J2" s="127" t="s">
        <v>11</v>
      </c>
      <c r="K2" s="128">
        <f t="shared" ref="K2:K65" si="1">AVERAGE(B2:G2)</f>
        <v>-26.284299259587044</v>
      </c>
      <c r="L2" s="128">
        <v>0.38614296884861332</v>
      </c>
      <c r="M2" s="128">
        <v>-3.3056760676643648E-2</v>
      </c>
      <c r="N2" s="128">
        <v>1.5911573342634533</v>
      </c>
      <c r="O2" s="128">
        <v>0.95559339087939321</v>
      </c>
      <c r="P2" s="128">
        <f>IF(OR(E2="", D2="", B2="", C2=""), "", MIN(E2,D2)-MIN(B2,C2))</f>
        <v>1.5581005735868096</v>
      </c>
      <c r="Q2" s="128">
        <f>IF(OR(E2="", D2="", B2="", C2=""), "", MIN(E2,D2)-MAX(B2,C2))</f>
        <v>-3.3056760676643648E-2</v>
      </c>
      <c r="R2" s="128">
        <f>IF(OR(E2="", D2="", B2="", C2=""), "", MIN(E2,D2)-AVERAGE(B2,C2))</f>
        <v>0.76252190645508477</v>
      </c>
      <c r="S2" s="129">
        <v>0</v>
      </c>
      <c r="T2" s="130">
        <v>0</v>
      </c>
      <c r="U2" s="130">
        <v>0</v>
      </c>
      <c r="V2" s="130">
        <v>0</v>
      </c>
      <c r="W2" s="130">
        <v>0</v>
      </c>
      <c r="X2" s="131" t="s">
        <v>16</v>
      </c>
    </row>
    <row r="3" spans="1:30" x14ac:dyDescent="0.3">
      <c r="A3" s="4">
        <v>231</v>
      </c>
      <c r="B3" s="9">
        <v>-29.405211239999996</v>
      </c>
      <c r="C3" s="9">
        <v>-26.059587479999998</v>
      </c>
      <c r="D3" s="8">
        <f t="shared" si="0"/>
        <v>-25.656452642105265</v>
      </c>
      <c r="E3" s="9">
        <v>-25.987499999999997</v>
      </c>
      <c r="F3" s="9">
        <v>-24.599473684210526</v>
      </c>
      <c r="G3" s="9">
        <v>-26.7134316</v>
      </c>
      <c r="H3" s="7"/>
      <c r="I3" s="7"/>
      <c r="J3" s="33" t="s">
        <v>11</v>
      </c>
      <c r="K3" s="32">
        <f t="shared" si="1"/>
        <v>-26.403609441052634</v>
      </c>
      <c r="L3" s="32">
        <v>-0.33104735789473239</v>
      </c>
      <c r="M3" s="32">
        <v>0.40313483789473281</v>
      </c>
      <c r="N3" s="32">
        <v>3.3456237599999987</v>
      </c>
      <c r="O3" s="32">
        <v>1.9104230389473642</v>
      </c>
      <c r="P3" s="128">
        <f t="shared" ref="P3:P66" si="2">IF(OR(E3="", D3="", B3="", C3=""), "", MIN(E3,D3)-MIN(B3,C3))</f>
        <v>3.4177112399999992</v>
      </c>
      <c r="Q3" s="128">
        <f t="shared" ref="Q3:Q66" si="3">IF(OR(E3="", D3="", B3="", C3=""), "", MIN(E3,D3)-MAX(B3,C3))</f>
        <v>7.2087480000000426E-2</v>
      </c>
      <c r="R3" s="128">
        <f t="shared" ref="R3:R66" si="4">IF(OR(E3="", D3="", B3="", C3=""), "", MIN(E3,D3)-AVERAGE(B3,C3))</f>
        <v>1.744899359999998</v>
      </c>
      <c r="S3" s="100" t="s">
        <v>20</v>
      </c>
      <c r="T3" s="99">
        <v>0</v>
      </c>
      <c r="U3" s="99">
        <v>0</v>
      </c>
      <c r="V3" s="99">
        <v>0</v>
      </c>
      <c r="W3" s="99">
        <v>1</v>
      </c>
      <c r="X3" t="s">
        <v>17</v>
      </c>
      <c r="AC3"/>
      <c r="AD3"/>
    </row>
    <row r="4" spans="1:30" x14ac:dyDescent="0.3">
      <c r="A4" s="4">
        <v>232</v>
      </c>
      <c r="B4" s="9">
        <v>-30.561385373502073</v>
      </c>
      <c r="C4" s="9">
        <v>-28.704899764811291</v>
      </c>
      <c r="D4" s="8">
        <f t="shared" si="0"/>
        <v>-28.300706908040873</v>
      </c>
      <c r="E4" s="9">
        <v>-27.90918103448276</v>
      </c>
      <c r="F4" s="9">
        <v>-28.165631941359393</v>
      </c>
      <c r="G4" s="9">
        <v>-28.435781874722348</v>
      </c>
      <c r="H4" s="7"/>
      <c r="I4" s="7"/>
      <c r="J4" s="33" t="s">
        <v>18</v>
      </c>
      <c r="K4" s="32">
        <f t="shared" si="1"/>
        <v>-28.679597816153123</v>
      </c>
      <c r="L4" s="32">
        <v>0.39152587355811264</v>
      </c>
      <c r="M4" s="32">
        <v>0.40419285677041827</v>
      </c>
      <c r="N4" s="32">
        <v>1.8564856086907824</v>
      </c>
      <c r="O4" s="32">
        <v>1.528198597894864</v>
      </c>
      <c r="P4" s="128">
        <f t="shared" si="2"/>
        <v>2.2606784654612007</v>
      </c>
      <c r="Q4" s="128">
        <f t="shared" si="3"/>
        <v>0.40419285677041827</v>
      </c>
      <c r="R4" s="128">
        <f t="shared" si="4"/>
        <v>1.3324356611158095</v>
      </c>
      <c r="S4" s="100" t="s">
        <v>20</v>
      </c>
      <c r="T4" s="99">
        <v>0</v>
      </c>
      <c r="U4" s="99">
        <v>0</v>
      </c>
      <c r="V4" s="99">
        <v>0</v>
      </c>
      <c r="W4" s="99">
        <v>1</v>
      </c>
      <c r="X4" t="s">
        <v>16</v>
      </c>
      <c r="AC4"/>
      <c r="AD4"/>
    </row>
    <row r="5" spans="1:30" x14ac:dyDescent="0.3">
      <c r="A5" s="4">
        <v>233</v>
      </c>
      <c r="B5" s="9">
        <v>-31.602036479999995</v>
      </c>
      <c r="C5" s="9">
        <v>-30.805939259999995</v>
      </c>
      <c r="D5" s="8">
        <f t="shared" si="0"/>
        <v>-27.730243902439028</v>
      </c>
      <c r="E5" s="9">
        <v>-28.712894736842106</v>
      </c>
      <c r="F5" s="9">
        <v>-28.099024390243905</v>
      </c>
      <c r="G5" s="9">
        <v>-27.361463414634152</v>
      </c>
      <c r="H5" s="7"/>
      <c r="I5" s="7"/>
      <c r="J5" s="33" t="s">
        <v>18</v>
      </c>
      <c r="K5" s="32">
        <f t="shared" si="1"/>
        <v>-29.051933697359868</v>
      </c>
      <c r="L5" s="32">
        <v>-0.98265083440307777</v>
      </c>
      <c r="M5" s="32">
        <v>3.0756953575609671</v>
      </c>
      <c r="N5" s="32">
        <v>0.79609722000000005</v>
      </c>
      <c r="O5" s="32">
        <v>2.98241855035943</v>
      </c>
      <c r="P5" s="128">
        <f t="shared" si="2"/>
        <v>2.8891417431578894</v>
      </c>
      <c r="Q5" s="128">
        <f t="shared" si="3"/>
        <v>2.0930445231578894</v>
      </c>
      <c r="R5" s="128">
        <f t="shared" si="4"/>
        <v>2.4910931331578894</v>
      </c>
      <c r="S5" s="98">
        <v>0</v>
      </c>
      <c r="T5" s="99">
        <v>0</v>
      </c>
      <c r="U5" s="99">
        <v>0</v>
      </c>
      <c r="V5" s="99">
        <v>0</v>
      </c>
      <c r="W5" s="99">
        <v>1</v>
      </c>
      <c r="X5" t="s">
        <v>16</v>
      </c>
      <c r="AC5"/>
      <c r="AD5"/>
    </row>
    <row r="6" spans="1:30" x14ac:dyDescent="0.3">
      <c r="A6" s="4">
        <v>234</v>
      </c>
      <c r="B6" s="9">
        <v>-27.340295202952028</v>
      </c>
      <c r="C6" s="9">
        <v>-30.127532758427598</v>
      </c>
      <c r="D6" s="8">
        <f t="shared" si="0"/>
        <v>-29.691478787205689</v>
      </c>
      <c r="E6" s="9">
        <v>-28.045461254612544</v>
      </c>
      <c r="F6" s="9">
        <v>-29.67647045757441</v>
      </c>
      <c r="G6" s="9">
        <v>-29.706487116836964</v>
      </c>
      <c r="H6" s="7"/>
      <c r="I6" s="7"/>
      <c r="J6" s="33" t="s">
        <v>18</v>
      </c>
      <c r="K6" s="32">
        <f t="shared" si="1"/>
        <v>-29.097954262934877</v>
      </c>
      <c r="L6" s="32">
        <v>1.6460175325931452</v>
      </c>
      <c r="M6" s="32">
        <v>0.43605397122190936</v>
      </c>
      <c r="N6" s="32">
        <v>-2.7872375554755706</v>
      </c>
      <c r="O6" s="32">
        <v>-0.13455604021930156</v>
      </c>
      <c r="P6" s="128">
        <f t="shared" si="2"/>
        <v>0.43605397122190936</v>
      </c>
      <c r="Q6" s="128">
        <f t="shared" si="3"/>
        <v>-2.3511835842536613</v>
      </c>
      <c r="R6" s="128">
        <f t="shared" si="4"/>
        <v>-0.95756480651587594</v>
      </c>
      <c r="S6" s="98">
        <v>0</v>
      </c>
      <c r="T6" s="99">
        <v>1</v>
      </c>
      <c r="U6" s="99">
        <v>1</v>
      </c>
      <c r="V6" s="99">
        <v>1</v>
      </c>
      <c r="W6" s="99">
        <v>0</v>
      </c>
      <c r="X6" t="s">
        <v>16</v>
      </c>
      <c r="AC6"/>
      <c r="AD6"/>
    </row>
    <row r="7" spans="1:30" x14ac:dyDescent="0.3">
      <c r="A7" s="4">
        <v>235</v>
      </c>
      <c r="B7" s="9">
        <v>-31.279566719999995</v>
      </c>
      <c r="C7" s="9">
        <v>-30.564086939999996</v>
      </c>
      <c r="D7" s="8">
        <f t="shared" si="0"/>
        <v>-30.562658200000001</v>
      </c>
      <c r="E7" s="9">
        <v>-28.81421052631579</v>
      </c>
      <c r="F7" s="9">
        <v>-30.844063800000001</v>
      </c>
      <c r="G7" s="9">
        <v>-30.281252599999998</v>
      </c>
      <c r="H7" s="7"/>
      <c r="I7" s="7"/>
      <c r="J7" s="33" t="s">
        <v>18</v>
      </c>
      <c r="K7" s="32">
        <f t="shared" si="1"/>
        <v>-30.390973131052629</v>
      </c>
      <c r="L7" s="32">
        <v>1.7484476736842112</v>
      </c>
      <c r="M7" s="32">
        <v>1.4287399999943773E-3</v>
      </c>
      <c r="N7" s="32">
        <v>0.71547977999999901</v>
      </c>
      <c r="O7" s="32">
        <v>1.2333924668420977</v>
      </c>
      <c r="P7" s="128">
        <f t="shared" si="2"/>
        <v>0.71690851999999339</v>
      </c>
      <c r="Q7" s="128">
        <f t="shared" si="3"/>
        <v>1.4287399999943773E-3</v>
      </c>
      <c r="R7" s="128">
        <f t="shared" si="4"/>
        <v>0.35916862999999211</v>
      </c>
      <c r="S7" s="98">
        <v>0</v>
      </c>
      <c r="T7" s="99">
        <v>0</v>
      </c>
      <c r="U7" s="99">
        <v>0</v>
      </c>
      <c r="W7" s="99">
        <v>0</v>
      </c>
      <c r="X7" t="s">
        <v>16</v>
      </c>
      <c r="AC7"/>
      <c r="AD7"/>
    </row>
    <row r="8" spans="1:30" s="97" customFormat="1" x14ac:dyDescent="0.3">
      <c r="A8" s="91">
        <v>236</v>
      </c>
      <c r="B8" s="92">
        <v>-30.097263971329376</v>
      </c>
      <c r="C8" s="92">
        <v>-30.177980736924631</v>
      </c>
      <c r="D8" s="93" t="str">
        <f t="shared" si="0"/>
        <v/>
      </c>
      <c r="E8" s="92">
        <v>-29.591896551724137</v>
      </c>
      <c r="F8" s="92"/>
      <c r="G8" s="92"/>
      <c r="H8" s="94"/>
      <c r="I8" s="94"/>
      <c r="J8" s="95" t="s">
        <v>18</v>
      </c>
      <c r="K8" s="96">
        <f t="shared" si="1"/>
        <v>-29.955713753326048</v>
      </c>
      <c r="L8" s="32" t="e">
        <v>#VALUE!</v>
      </c>
      <c r="M8" s="32" t="e">
        <v>#VALUE!</v>
      </c>
      <c r="N8" s="32">
        <v>-8.0716765595255424E-2</v>
      </c>
      <c r="O8" s="32">
        <v>0.54572580240286683</v>
      </c>
      <c r="P8" s="128" t="str">
        <f t="shared" si="2"/>
        <v/>
      </c>
      <c r="Q8" s="128" t="str">
        <f t="shared" si="3"/>
        <v/>
      </c>
      <c r="R8" s="128" t="str">
        <f t="shared" si="4"/>
        <v/>
      </c>
      <c r="S8" s="101"/>
      <c r="T8" s="102">
        <v>1</v>
      </c>
      <c r="U8" s="102">
        <v>1</v>
      </c>
      <c r="V8" s="102">
        <v>1</v>
      </c>
      <c r="W8" s="102">
        <v>0</v>
      </c>
      <c r="X8" s="97" t="s">
        <v>16</v>
      </c>
    </row>
    <row r="9" spans="1:30" x14ac:dyDescent="0.3">
      <c r="A9" s="4">
        <v>237</v>
      </c>
      <c r="B9" s="9">
        <v>-30.554009759999996</v>
      </c>
      <c r="C9" s="9">
        <v>-30.211385639999996</v>
      </c>
      <c r="D9" s="8">
        <f t="shared" si="0"/>
        <v>-28.735383690243907</v>
      </c>
      <c r="E9" s="9">
        <v>-25.450526315789475</v>
      </c>
      <c r="F9" s="9">
        <v>-28.898048780487809</v>
      </c>
      <c r="G9" s="9">
        <v>-28.572718600000002</v>
      </c>
      <c r="H9" s="7"/>
      <c r="I9" s="7"/>
      <c r="J9" s="33" t="s">
        <v>18</v>
      </c>
      <c r="K9" s="32">
        <f t="shared" si="1"/>
        <v>-28.73701213108686</v>
      </c>
      <c r="L9" s="32">
        <v>3.2848573744544325</v>
      </c>
      <c r="M9" s="32">
        <v>1.476001949756089</v>
      </c>
      <c r="N9" s="32">
        <v>0.34262411999999998</v>
      </c>
      <c r="O9" s="32">
        <v>3.2897426969833035</v>
      </c>
      <c r="P9" s="32">
        <f t="shared" si="2"/>
        <v>1.818626069756089</v>
      </c>
      <c r="Q9" s="32">
        <f t="shared" si="3"/>
        <v>1.476001949756089</v>
      </c>
      <c r="R9" s="128">
        <f t="shared" si="4"/>
        <v>1.6473140097560872</v>
      </c>
      <c r="S9" s="105">
        <v>0</v>
      </c>
      <c r="T9" s="99">
        <v>0</v>
      </c>
      <c r="U9" s="99">
        <v>0</v>
      </c>
      <c r="V9" s="99">
        <v>0</v>
      </c>
      <c r="W9" s="99">
        <v>1</v>
      </c>
      <c r="X9" t="s">
        <v>17</v>
      </c>
      <c r="AC9"/>
      <c r="AD9"/>
    </row>
    <row r="10" spans="1:30" s="47" customFormat="1" x14ac:dyDescent="0.3">
      <c r="A10" s="40">
        <v>238</v>
      </c>
      <c r="B10" s="44"/>
      <c r="C10" s="44"/>
      <c r="D10" s="45">
        <f t="shared" si="0"/>
        <v>-27.679024390243907</v>
      </c>
      <c r="E10" s="44">
        <v>-28.530526315789473</v>
      </c>
      <c r="F10" s="44">
        <v>-29.061951219512199</v>
      </c>
      <c r="G10" s="44">
        <v>-26.296097560975614</v>
      </c>
      <c r="H10" s="42"/>
      <c r="I10" s="42"/>
      <c r="J10" s="33" t="s">
        <v>11</v>
      </c>
      <c r="K10" s="46">
        <f t="shared" si="1"/>
        <v>-27.891899871630297</v>
      </c>
      <c r="L10" s="32">
        <v>-0.85150192554556625</v>
      </c>
      <c r="M10" s="32">
        <v>-27.679024390243907</v>
      </c>
      <c r="N10" s="32">
        <v>0</v>
      </c>
      <c r="O10" s="32" t="e">
        <v>#DIV/0!</v>
      </c>
      <c r="P10" s="128" t="str">
        <f t="shared" si="2"/>
        <v/>
      </c>
      <c r="Q10" s="128" t="str">
        <f t="shared" si="3"/>
        <v/>
      </c>
      <c r="R10" s="128" t="str">
        <f t="shared" si="4"/>
        <v/>
      </c>
      <c r="S10" s="103"/>
      <c r="T10" s="104"/>
      <c r="U10" s="104"/>
      <c r="V10" s="104"/>
      <c r="W10" s="104"/>
      <c r="Y10"/>
    </row>
    <row r="11" spans="1:30" s="47" customFormat="1" x14ac:dyDescent="0.3">
      <c r="A11" s="40">
        <v>239</v>
      </c>
      <c r="B11" s="44">
        <v>-27.944723247232471</v>
      </c>
      <c r="C11" s="44">
        <v>-27.342804345391425</v>
      </c>
      <c r="D11" s="45" t="str">
        <f t="shared" si="0"/>
        <v/>
      </c>
      <c r="E11" s="44">
        <v>-26.091143911439111</v>
      </c>
      <c r="F11" s="44"/>
      <c r="G11" s="44"/>
      <c r="H11" s="42"/>
      <c r="I11" s="42"/>
      <c r="J11" s="33" t="s">
        <v>11</v>
      </c>
      <c r="K11" s="46">
        <f t="shared" si="1"/>
        <v>-27.126223834687668</v>
      </c>
      <c r="L11" s="32" t="e">
        <v>#VALUE!</v>
      </c>
      <c r="M11" s="32" t="e">
        <v>#VALUE!</v>
      </c>
      <c r="N11" s="32">
        <v>0.60191890184104579</v>
      </c>
      <c r="O11" s="32">
        <v>1.5526198848728363</v>
      </c>
      <c r="P11" s="128" t="str">
        <f t="shared" si="2"/>
        <v/>
      </c>
      <c r="Q11" s="128" t="str">
        <f t="shared" si="3"/>
        <v/>
      </c>
      <c r="R11" s="128" t="str">
        <f t="shared" si="4"/>
        <v/>
      </c>
      <c r="S11" s="103"/>
      <c r="T11" s="104">
        <v>0</v>
      </c>
      <c r="U11" s="104">
        <v>0</v>
      </c>
      <c r="V11" s="104">
        <v>0</v>
      </c>
      <c r="W11" s="104"/>
      <c r="Y11"/>
    </row>
    <row r="12" spans="1:30" s="131" customFormat="1" x14ac:dyDescent="0.3">
      <c r="A12" s="123">
        <v>240</v>
      </c>
      <c r="B12" s="124">
        <v>-28.659499919999998</v>
      </c>
      <c r="C12" s="124">
        <v>-27.309157799999998</v>
      </c>
      <c r="D12" s="125">
        <f t="shared" si="0"/>
        <v>-25.910573202102675</v>
      </c>
      <c r="E12" s="124">
        <v>-25.318815789473682</v>
      </c>
      <c r="F12" s="124">
        <v>-25.76447041717929</v>
      </c>
      <c r="G12" s="124">
        <v>-26.056675987026061</v>
      </c>
      <c r="H12" s="126"/>
      <c r="I12" s="126"/>
      <c r="J12" s="127" t="s">
        <v>11</v>
      </c>
      <c r="K12" s="128">
        <f t="shared" si="1"/>
        <v>-26.503198852630288</v>
      </c>
      <c r="L12" s="128">
        <v>0.59175741262899351</v>
      </c>
      <c r="M12" s="128">
        <v>1.3985845978973224</v>
      </c>
      <c r="N12" s="128">
        <v>1.3503421200000005</v>
      </c>
      <c r="O12" s="128">
        <v>2.3696343642118194</v>
      </c>
      <c r="P12" s="128">
        <f t="shared" si="2"/>
        <v>2.7489267178973229</v>
      </c>
      <c r="Q12" s="128">
        <f t="shared" si="3"/>
        <v>1.3985845978973224</v>
      </c>
      <c r="R12" s="128">
        <f t="shared" si="4"/>
        <v>2.0737556578973226</v>
      </c>
      <c r="S12" s="133" t="s">
        <v>20</v>
      </c>
      <c r="T12" s="130">
        <v>0</v>
      </c>
      <c r="U12" s="130">
        <v>0</v>
      </c>
      <c r="V12" s="130">
        <v>0</v>
      </c>
      <c r="W12" s="130">
        <v>1</v>
      </c>
      <c r="X12" s="131" t="s">
        <v>16</v>
      </c>
    </row>
    <row r="13" spans="1:30" x14ac:dyDescent="0.3">
      <c r="A13" s="4">
        <v>241</v>
      </c>
      <c r="B13" s="9">
        <v>-27.531697416974168</v>
      </c>
      <c r="C13" s="9">
        <v>-27.342804345391425</v>
      </c>
      <c r="D13" s="8">
        <f t="shared" si="0"/>
        <v>-26.399651821412707</v>
      </c>
      <c r="E13" s="9">
        <v>-23.764095940959407</v>
      </c>
      <c r="F13" s="9">
        <v>-26.434671257219016</v>
      </c>
      <c r="G13" s="9">
        <v>-26.364632385606399</v>
      </c>
      <c r="H13" s="7"/>
      <c r="I13" s="7"/>
      <c r="J13" s="33" t="s">
        <v>11</v>
      </c>
      <c r="K13" s="32">
        <f t="shared" si="1"/>
        <v>-26.30625886126052</v>
      </c>
      <c r="L13" s="32">
        <v>2.6355558804532997</v>
      </c>
      <c r="M13" s="32">
        <v>0.94315252397871774</v>
      </c>
      <c r="N13" s="32">
        <v>0.18889307158274349</v>
      </c>
      <c r="O13" s="32">
        <v>2.3553769999967429</v>
      </c>
      <c r="P13" s="128">
        <f t="shared" si="2"/>
        <v>1.1320455955614612</v>
      </c>
      <c r="Q13" s="128">
        <f t="shared" si="3"/>
        <v>0.94315252397871774</v>
      </c>
      <c r="R13" s="128">
        <f t="shared" si="4"/>
        <v>1.0375990597700913</v>
      </c>
      <c r="S13" s="105" t="s">
        <v>20</v>
      </c>
      <c r="T13" s="99">
        <v>0</v>
      </c>
      <c r="U13" s="99">
        <v>0</v>
      </c>
      <c r="V13" s="99">
        <v>0</v>
      </c>
      <c r="W13" s="99">
        <v>0</v>
      </c>
      <c r="X13" t="s">
        <v>16</v>
      </c>
      <c r="AC13"/>
      <c r="AD13"/>
    </row>
    <row r="14" spans="1:30" x14ac:dyDescent="0.3">
      <c r="A14" s="4">
        <v>242</v>
      </c>
      <c r="B14" s="9">
        <v>-27.531697416974168</v>
      </c>
      <c r="C14" s="9">
        <v>-27.342804345391425</v>
      </c>
      <c r="D14" s="8">
        <f t="shared" si="0"/>
        <v>-27.318880787637109</v>
      </c>
      <c r="E14" s="9">
        <v>-27.51736842105263</v>
      </c>
      <c r="F14" s="9">
        <v>-26.721695559780787</v>
      </c>
      <c r="G14" s="9">
        <v>-27.916066015493431</v>
      </c>
      <c r="H14" s="7"/>
      <c r="I14" s="7"/>
      <c r="J14" s="33" t="s">
        <v>11</v>
      </c>
      <c r="K14" s="32">
        <f t="shared" si="1"/>
        <v>-27.391418757721596</v>
      </c>
      <c r="L14" s="32">
        <v>-0.198487633415521</v>
      </c>
      <c r="M14" s="32">
        <v>2.3923557754315539E-2</v>
      </c>
      <c r="N14" s="32">
        <v>0.18889307158274349</v>
      </c>
      <c r="O14" s="32">
        <v>1.9126276837930334E-2</v>
      </c>
      <c r="P14" s="128">
        <f t="shared" si="2"/>
        <v>1.4328995921538024E-2</v>
      </c>
      <c r="Q14" s="128">
        <f t="shared" si="3"/>
        <v>-0.17456407566120546</v>
      </c>
      <c r="R14" s="128">
        <f t="shared" si="4"/>
        <v>-8.0117539869831944E-2</v>
      </c>
      <c r="S14" s="105" t="s">
        <v>20</v>
      </c>
      <c r="T14" s="99">
        <v>0</v>
      </c>
      <c r="U14" s="99">
        <v>0</v>
      </c>
      <c r="V14" s="99">
        <v>0</v>
      </c>
      <c r="W14" s="99">
        <v>0</v>
      </c>
      <c r="X14" t="s">
        <v>16</v>
      </c>
      <c r="AC14"/>
      <c r="AD14"/>
    </row>
    <row r="15" spans="1:30" s="97" customFormat="1" x14ac:dyDescent="0.3">
      <c r="A15" s="91">
        <v>243</v>
      </c>
      <c r="B15" s="92">
        <v>-29.616974169741695</v>
      </c>
      <c r="C15" s="92">
        <v>-30.026636801433536</v>
      </c>
      <c r="D15" s="93" t="str">
        <f t="shared" si="0"/>
        <v/>
      </c>
      <c r="E15" s="92">
        <v>-28.881586715867158</v>
      </c>
      <c r="F15" s="92"/>
      <c r="G15" s="92"/>
      <c r="H15" s="94"/>
      <c r="I15" s="94"/>
      <c r="J15" s="95" t="s">
        <v>18</v>
      </c>
      <c r="K15" s="96">
        <f t="shared" si="1"/>
        <v>-29.508399229014131</v>
      </c>
      <c r="L15" s="32" t="e">
        <v>#VALUE!</v>
      </c>
      <c r="M15" s="32" t="e">
        <v>#VALUE!</v>
      </c>
      <c r="N15" s="32">
        <v>-0.40966263169184103</v>
      </c>
      <c r="O15" s="32">
        <v>0.94021876972045959</v>
      </c>
      <c r="P15" s="128" t="str">
        <f t="shared" si="2"/>
        <v/>
      </c>
      <c r="Q15" s="128" t="str">
        <f t="shared" si="3"/>
        <v/>
      </c>
      <c r="R15" s="128" t="str">
        <f t="shared" si="4"/>
        <v/>
      </c>
      <c r="S15" s="106"/>
      <c r="T15" s="102">
        <v>1</v>
      </c>
      <c r="U15" s="102">
        <v>1</v>
      </c>
      <c r="V15" s="102">
        <v>1</v>
      </c>
      <c r="W15" s="102"/>
    </row>
    <row r="16" spans="1:30" x14ac:dyDescent="0.3">
      <c r="A16" s="4">
        <v>245</v>
      </c>
      <c r="B16" s="9">
        <v>-29.572604994960244</v>
      </c>
      <c r="C16" s="9">
        <v>-28.250867958338002</v>
      </c>
      <c r="D16" s="8">
        <f t="shared" si="0"/>
        <v>-27.705376499333632</v>
      </c>
      <c r="E16" s="9">
        <v>-28.166346863468636</v>
      </c>
      <c r="F16" s="9">
        <v>-27.755404264771212</v>
      </c>
      <c r="G16" s="9">
        <v>-27.655348733896048</v>
      </c>
      <c r="H16" s="7"/>
      <c r="I16" s="7"/>
      <c r="J16" s="33" t="s">
        <v>18</v>
      </c>
      <c r="K16" s="32">
        <f t="shared" si="1"/>
        <v>-28.184324885794627</v>
      </c>
      <c r="L16" s="32">
        <v>-0.46097036413500447</v>
      </c>
      <c r="M16" s="32">
        <v>0.54549145900437068</v>
      </c>
      <c r="N16" s="32">
        <v>1.3217370366222418</v>
      </c>
      <c r="O16" s="32">
        <v>0.97587479524798937</v>
      </c>
      <c r="P16" s="128">
        <f t="shared" si="2"/>
        <v>1.4062581314916081</v>
      </c>
      <c r="Q16" s="128">
        <f t="shared" si="3"/>
        <v>8.4521094869366209E-2</v>
      </c>
      <c r="R16" s="128">
        <f t="shared" si="4"/>
        <v>0.74538961318048891</v>
      </c>
      <c r="S16" s="98">
        <v>0</v>
      </c>
      <c r="T16" s="99">
        <v>0</v>
      </c>
      <c r="U16" s="99">
        <v>0</v>
      </c>
      <c r="V16" s="99">
        <v>0</v>
      </c>
      <c r="W16" s="99">
        <v>0</v>
      </c>
      <c r="X16" t="s">
        <v>16</v>
      </c>
      <c r="AC16"/>
      <c r="AD16"/>
    </row>
    <row r="17" spans="1:30" s="47" customFormat="1" x14ac:dyDescent="0.3">
      <c r="A17" s="40">
        <v>246</v>
      </c>
      <c r="B17" s="44">
        <v>-28.045461254612544</v>
      </c>
      <c r="C17" s="44">
        <v>-28.281136745436221</v>
      </c>
      <c r="D17" s="45" t="str">
        <f t="shared" si="0"/>
        <v/>
      </c>
      <c r="E17" s="44">
        <v>-28.8009963099631</v>
      </c>
      <c r="F17" s="44"/>
      <c r="G17" s="44"/>
      <c r="H17" s="42"/>
      <c r="I17" s="42"/>
      <c r="J17" s="33" t="s">
        <v>11</v>
      </c>
      <c r="K17" s="46">
        <f t="shared" si="1"/>
        <v>-28.375864770003954</v>
      </c>
      <c r="L17" s="32" t="e">
        <v>#VALUE!</v>
      </c>
      <c r="M17" s="32" t="e">
        <v>#VALUE!</v>
      </c>
      <c r="N17" s="32">
        <v>-0.23567549082367734</v>
      </c>
      <c r="O17" s="32">
        <v>-0.63769730993871931</v>
      </c>
      <c r="P17" s="128" t="str">
        <f t="shared" si="2"/>
        <v/>
      </c>
      <c r="Q17" s="128" t="str">
        <f t="shared" si="3"/>
        <v/>
      </c>
      <c r="R17" s="128" t="str">
        <f t="shared" si="4"/>
        <v/>
      </c>
      <c r="S17" s="103"/>
      <c r="T17" s="104"/>
      <c r="U17" s="104"/>
      <c r="V17" s="104"/>
      <c r="W17" s="104"/>
      <c r="Y17"/>
    </row>
    <row r="18" spans="1:30" x14ac:dyDescent="0.3">
      <c r="A18" s="4">
        <v>247</v>
      </c>
      <c r="B18" s="9">
        <v>-27.622361623616236</v>
      </c>
      <c r="C18" s="9">
        <v>-27.342804345391425</v>
      </c>
      <c r="D18" s="8">
        <f t="shared" si="0"/>
        <v>-27.515270990670814</v>
      </c>
      <c r="E18" s="9">
        <v>-28.088405172413793</v>
      </c>
      <c r="F18" s="9">
        <v>-27.735393158596178</v>
      </c>
      <c r="G18" s="9">
        <v>-27.29514882274545</v>
      </c>
      <c r="H18" s="7"/>
      <c r="I18" s="7"/>
      <c r="J18" s="33" t="s">
        <v>11</v>
      </c>
      <c r="K18" s="32">
        <f t="shared" si="1"/>
        <v>-27.599897352238983</v>
      </c>
      <c r="L18" s="32">
        <v>-0.57313418174297937</v>
      </c>
      <c r="M18" s="32">
        <v>-0.17246664527938904</v>
      </c>
      <c r="N18" s="32">
        <v>0.2795572782248108</v>
      </c>
      <c r="O18" s="32">
        <v>-0.3192550970384751</v>
      </c>
      <c r="P18" s="128">
        <f t="shared" si="2"/>
        <v>-0.46604354879755761</v>
      </c>
      <c r="Q18" s="128">
        <f t="shared" si="3"/>
        <v>-0.74560082702236841</v>
      </c>
      <c r="R18" s="128">
        <f t="shared" si="4"/>
        <v>-0.60582218790996478</v>
      </c>
      <c r="S18" s="98">
        <v>0</v>
      </c>
      <c r="T18" s="99">
        <v>0</v>
      </c>
      <c r="U18" s="99">
        <v>0</v>
      </c>
      <c r="V18" s="99">
        <v>0</v>
      </c>
      <c r="W18" s="99">
        <v>0</v>
      </c>
      <c r="X18" t="s">
        <v>16</v>
      </c>
      <c r="AC18"/>
      <c r="AD18"/>
    </row>
    <row r="19" spans="1:30" x14ac:dyDescent="0.3">
      <c r="A19" s="4">
        <v>248</v>
      </c>
      <c r="B19" s="9">
        <v>-29.767989719999996</v>
      </c>
      <c r="C19" s="9">
        <v>-31.773348539999997</v>
      </c>
      <c r="D19" s="8">
        <f t="shared" si="0"/>
        <v>-30.931463414634152</v>
      </c>
      <c r="E19" s="9">
        <v>-31.144473684210524</v>
      </c>
      <c r="F19" s="9">
        <v>-30.957073170731711</v>
      </c>
      <c r="G19" s="9">
        <v>-30.905853658536593</v>
      </c>
      <c r="H19" s="7"/>
      <c r="I19" s="7"/>
      <c r="J19" s="33" t="s">
        <v>18</v>
      </c>
      <c r="K19" s="32">
        <f t="shared" si="1"/>
        <v>-30.913367031352163</v>
      </c>
      <c r="L19" s="32">
        <v>-0.21301026957637248</v>
      </c>
      <c r="M19" s="32">
        <v>0.84188512536584525</v>
      </c>
      <c r="N19" s="32">
        <v>-2.0053588200000014</v>
      </c>
      <c r="O19" s="32">
        <v>-0.26729941942234348</v>
      </c>
      <c r="P19" s="128">
        <f t="shared" si="2"/>
        <v>0.62887485578947278</v>
      </c>
      <c r="Q19" s="128">
        <f t="shared" si="3"/>
        <v>-1.3764839642105287</v>
      </c>
      <c r="R19" s="128">
        <f t="shared" si="4"/>
        <v>-0.37380455421052972</v>
      </c>
      <c r="S19" s="98">
        <v>0</v>
      </c>
      <c r="T19" s="99">
        <v>1</v>
      </c>
      <c r="U19" s="99">
        <v>1</v>
      </c>
      <c r="V19" s="99">
        <v>1</v>
      </c>
      <c r="W19" s="99">
        <v>0</v>
      </c>
      <c r="X19" t="s">
        <v>16</v>
      </c>
      <c r="AC19"/>
      <c r="AD19"/>
    </row>
    <row r="20" spans="1:30" x14ac:dyDescent="0.3">
      <c r="A20" s="4">
        <v>249</v>
      </c>
      <c r="B20" s="9">
        <v>-31.246379329798035</v>
      </c>
      <c r="C20" s="9">
        <v>-30.382377298883</v>
      </c>
      <c r="D20" s="8">
        <f t="shared" si="0"/>
        <v>-30.11091613337824</v>
      </c>
      <c r="E20" s="9">
        <v>-27.740263157894734</v>
      </c>
      <c r="F20" s="9">
        <v>-30.67732906702593</v>
      </c>
      <c r="G20" s="9">
        <v>-29.544503199730549</v>
      </c>
      <c r="H20" s="7"/>
      <c r="I20" s="7"/>
      <c r="J20" s="33" t="s">
        <v>18</v>
      </c>
      <c r="K20" s="32">
        <f t="shared" si="1"/>
        <v>-29.950294697785079</v>
      </c>
      <c r="L20" s="32">
        <v>2.3706529754835053</v>
      </c>
      <c r="M20" s="32">
        <v>0.27146116550476052</v>
      </c>
      <c r="N20" s="32">
        <v>0.86400203091503514</v>
      </c>
      <c r="O20" s="32">
        <v>1.8887886687040307</v>
      </c>
      <c r="P20" s="128">
        <f t="shared" si="2"/>
        <v>1.1354631964197957</v>
      </c>
      <c r="Q20" s="128">
        <f t="shared" si="3"/>
        <v>0.27146116550476052</v>
      </c>
      <c r="R20" s="128">
        <f t="shared" si="4"/>
        <v>0.70346218096227631</v>
      </c>
      <c r="S20" s="98">
        <v>0</v>
      </c>
      <c r="T20" s="99">
        <v>0</v>
      </c>
      <c r="U20" s="99">
        <v>0</v>
      </c>
      <c r="V20" s="99">
        <v>0</v>
      </c>
      <c r="W20" s="99">
        <v>0</v>
      </c>
      <c r="X20" t="s">
        <v>16</v>
      </c>
      <c r="AC20"/>
      <c r="AD20"/>
    </row>
    <row r="21" spans="1:30" x14ac:dyDescent="0.3">
      <c r="A21" s="4">
        <v>251</v>
      </c>
      <c r="B21" s="9">
        <v>-30.607957658779579</v>
      </c>
      <c r="C21" s="9">
        <v>-29.761419676214199</v>
      </c>
      <c r="D21" s="8">
        <f t="shared" si="0"/>
        <v>-29.244007092198583</v>
      </c>
      <c r="E21" s="9">
        <v>-27.355263157894736</v>
      </c>
      <c r="F21" s="9">
        <v>-29.43163120567376</v>
      </c>
      <c r="G21" s="9">
        <v>-29.056382978723406</v>
      </c>
      <c r="H21" s="7"/>
      <c r="I21" s="7"/>
      <c r="J21" s="33" t="s">
        <v>18</v>
      </c>
      <c r="K21" s="32">
        <f t="shared" si="1"/>
        <v>-29.242776961580713</v>
      </c>
      <c r="L21" s="32">
        <v>1.8887439343038466</v>
      </c>
      <c r="M21" s="32">
        <v>0.51741258401561652</v>
      </c>
      <c r="N21" s="32">
        <v>0.84653798256537982</v>
      </c>
      <c r="O21" s="32">
        <v>1.8850535424502297</v>
      </c>
      <c r="P21" s="128">
        <f t="shared" si="2"/>
        <v>1.3639505665809963</v>
      </c>
      <c r="Q21" s="128">
        <f t="shared" si="3"/>
        <v>0.51741258401561652</v>
      </c>
      <c r="R21" s="128">
        <f t="shared" si="4"/>
        <v>0.94068157529830643</v>
      </c>
      <c r="S21" s="98">
        <v>0</v>
      </c>
      <c r="T21" s="99">
        <v>0</v>
      </c>
      <c r="U21" s="99">
        <v>0</v>
      </c>
      <c r="V21" s="99">
        <v>0</v>
      </c>
      <c r="W21" s="99">
        <v>0</v>
      </c>
      <c r="X21" t="s">
        <v>16</v>
      </c>
      <c r="AC21"/>
      <c r="AD21"/>
    </row>
    <row r="22" spans="1:30" x14ac:dyDescent="0.3">
      <c r="A22" s="4">
        <v>252</v>
      </c>
      <c r="B22" s="9">
        <v>-30.638555417185554</v>
      </c>
      <c r="C22" s="9">
        <v>-29.549601769911501</v>
      </c>
      <c r="D22" s="8">
        <f t="shared" si="0"/>
        <v>-30.202411347517732</v>
      </c>
      <c r="E22" s="9">
        <v>-28.847503102786867</v>
      </c>
      <c r="F22" s="9">
        <v>-29.634468085106384</v>
      </c>
      <c r="G22" s="9">
        <v>-30.770354609929079</v>
      </c>
      <c r="H22" s="7"/>
      <c r="I22" s="7"/>
      <c r="J22" s="33" t="s">
        <v>18</v>
      </c>
      <c r="K22" s="32">
        <f t="shared" si="1"/>
        <v>-29.940482388739522</v>
      </c>
      <c r="L22" s="32">
        <v>1.3549082447308649</v>
      </c>
      <c r="M22" s="32">
        <v>-0.65280957760623082</v>
      </c>
      <c r="N22" s="32">
        <v>1.0889536472740531</v>
      </c>
      <c r="O22" s="32">
        <v>0.56912136839622818</v>
      </c>
      <c r="P22" s="128">
        <f t="shared" si="2"/>
        <v>0.43614406966782227</v>
      </c>
      <c r="Q22" s="128">
        <f t="shared" si="3"/>
        <v>-0.65280957760623082</v>
      </c>
      <c r="R22" s="128">
        <f t="shared" si="4"/>
        <v>-0.10833275396920428</v>
      </c>
      <c r="S22" s="100">
        <v>1</v>
      </c>
      <c r="T22" s="99">
        <v>0</v>
      </c>
      <c r="U22" s="99">
        <v>0</v>
      </c>
      <c r="V22" s="99">
        <v>0</v>
      </c>
      <c r="W22" s="99">
        <v>0</v>
      </c>
      <c r="X22" t="s">
        <v>16</v>
      </c>
      <c r="AC22"/>
      <c r="AD22"/>
    </row>
    <row r="23" spans="1:30" x14ac:dyDescent="0.3">
      <c r="A23" s="4">
        <v>253</v>
      </c>
      <c r="B23" s="9">
        <v>-30.9853300124533</v>
      </c>
      <c r="C23" s="9">
        <v>-29.825575221238935</v>
      </c>
      <c r="D23" s="8">
        <f t="shared" si="0"/>
        <v>-29.159663760896638</v>
      </c>
      <c r="E23" s="9">
        <v>-27.885363867684479</v>
      </c>
      <c r="F23" s="9">
        <v>-29.29225404732254</v>
      </c>
      <c r="G23" s="9">
        <v>-29.027073474470736</v>
      </c>
      <c r="H23" s="7"/>
      <c r="I23" s="7"/>
      <c r="J23" s="33" t="s">
        <v>18</v>
      </c>
      <c r="K23" s="32">
        <f t="shared" si="1"/>
        <v>-29.362543397344439</v>
      </c>
      <c r="L23" s="32">
        <v>1.2742998932121594</v>
      </c>
      <c r="M23" s="32">
        <v>0.66591146034229709</v>
      </c>
      <c r="N23" s="32">
        <v>1.1597547912143646</v>
      </c>
      <c r="O23" s="32">
        <v>1.8829388025555609</v>
      </c>
      <c r="P23" s="32">
        <f t="shared" si="2"/>
        <v>1.8256662515566617</v>
      </c>
      <c r="Q23" s="32">
        <f t="shared" si="3"/>
        <v>0.66591146034229709</v>
      </c>
      <c r="R23" s="32">
        <f t="shared" si="4"/>
        <v>1.2457888559494812</v>
      </c>
      <c r="S23" s="98">
        <v>0</v>
      </c>
      <c r="T23" s="99">
        <v>0</v>
      </c>
      <c r="U23" s="99">
        <v>0</v>
      </c>
      <c r="V23" s="99">
        <v>0</v>
      </c>
      <c r="W23" s="99">
        <v>0</v>
      </c>
      <c r="X23" t="s">
        <v>16</v>
      </c>
      <c r="AC23"/>
      <c r="AD23"/>
    </row>
    <row r="24" spans="1:30" x14ac:dyDescent="0.3">
      <c r="A24" s="4">
        <v>254</v>
      </c>
      <c r="B24" s="9">
        <v>-30.730348692403489</v>
      </c>
      <c r="C24" s="9">
        <v>-29.754026548672563</v>
      </c>
      <c r="D24" s="8">
        <f t="shared" si="0"/>
        <v>-29.236158156911586</v>
      </c>
      <c r="E24" s="9">
        <v>-28.078941475826969</v>
      </c>
      <c r="F24" s="9">
        <v>-29.445242839352431</v>
      </c>
      <c r="G24" s="9">
        <v>-29.027073474470736</v>
      </c>
      <c r="H24" s="7"/>
      <c r="I24" s="7"/>
      <c r="J24" s="33" t="s">
        <v>18</v>
      </c>
      <c r="K24" s="32">
        <f t="shared" si="1"/>
        <v>-29.378631864606294</v>
      </c>
      <c r="L24" s="32">
        <v>1.1572166810846163</v>
      </c>
      <c r="M24" s="32">
        <v>0.51786839176097743</v>
      </c>
      <c r="N24" s="32">
        <v>0.97632214373092552</v>
      </c>
      <c r="O24" s="32">
        <v>1.5846378041687501</v>
      </c>
      <c r="P24" s="32">
        <f t="shared" si="2"/>
        <v>1.4941905354919029</v>
      </c>
      <c r="Q24" s="32">
        <f t="shared" si="3"/>
        <v>0.51786839176097743</v>
      </c>
      <c r="R24" s="32">
        <f t="shared" si="4"/>
        <v>1.0060294636264402</v>
      </c>
      <c r="S24" s="98">
        <v>0</v>
      </c>
      <c r="T24" s="99">
        <v>0</v>
      </c>
      <c r="U24" s="99">
        <v>0</v>
      </c>
      <c r="V24" s="99">
        <v>0</v>
      </c>
      <c r="W24" s="99">
        <v>0</v>
      </c>
      <c r="X24" t="s">
        <v>16</v>
      </c>
      <c r="AC24"/>
      <c r="AD24"/>
    </row>
    <row r="25" spans="1:30" x14ac:dyDescent="0.3">
      <c r="A25" s="4">
        <v>255</v>
      </c>
      <c r="B25" s="9">
        <v>-31.240311332503115</v>
      </c>
      <c r="C25" s="9">
        <v>-30.893536737235369</v>
      </c>
      <c r="D25" s="8">
        <f t="shared" si="0"/>
        <v>-30.263262411347519</v>
      </c>
      <c r="E25" s="9">
        <v>-29.726052631578948</v>
      </c>
      <c r="F25" s="9">
        <v>-30.587801418439717</v>
      </c>
      <c r="G25" s="9">
        <v>-29.93872340425532</v>
      </c>
      <c r="H25" s="7"/>
      <c r="I25" s="7"/>
      <c r="J25" s="33" t="s">
        <v>18</v>
      </c>
      <c r="K25" s="32">
        <f t="shared" si="1"/>
        <v>-30.441614655893332</v>
      </c>
      <c r="L25" s="32">
        <v>0.53720977976857043</v>
      </c>
      <c r="M25" s="32">
        <v>0.63027432588785004</v>
      </c>
      <c r="N25" s="32">
        <v>0.34677459526774612</v>
      </c>
      <c r="O25" s="32">
        <v>1.0722665134060101</v>
      </c>
      <c r="P25" s="128">
        <f t="shared" si="2"/>
        <v>0.97704892115559616</v>
      </c>
      <c r="Q25" s="128">
        <f t="shared" si="3"/>
        <v>0.63027432588785004</v>
      </c>
      <c r="R25" s="128">
        <f t="shared" si="4"/>
        <v>0.8036616235217231</v>
      </c>
      <c r="S25" s="98">
        <v>0</v>
      </c>
      <c r="T25" s="99">
        <v>0</v>
      </c>
      <c r="U25" s="99">
        <v>0</v>
      </c>
      <c r="V25" s="99">
        <v>0</v>
      </c>
      <c r="W25" s="99">
        <v>0</v>
      </c>
      <c r="X25" t="s">
        <v>16</v>
      </c>
      <c r="AC25"/>
      <c r="AD25"/>
    </row>
    <row r="26" spans="1:30" x14ac:dyDescent="0.3">
      <c r="A26" s="4">
        <v>256</v>
      </c>
      <c r="B26" s="9">
        <v>-31.597285180572854</v>
      </c>
      <c r="C26" s="9">
        <v>-30.960132743362831</v>
      </c>
      <c r="D26" s="8">
        <f t="shared" si="0"/>
        <v>-31.652695035460994</v>
      </c>
      <c r="E26" s="9">
        <v>-31.449673925307462</v>
      </c>
      <c r="F26" s="9">
        <v>-31.804822695035462</v>
      </c>
      <c r="G26" s="9">
        <v>-31.500567375886526</v>
      </c>
      <c r="H26" s="7"/>
      <c r="I26" s="7"/>
      <c r="J26" s="33" t="s">
        <v>18</v>
      </c>
      <c r="K26" s="32">
        <f t="shared" si="1"/>
        <v>-31.494196159271024</v>
      </c>
      <c r="L26" s="32">
        <v>0.20302111015353219</v>
      </c>
      <c r="M26" s="32">
        <v>-0.69256229209816311</v>
      </c>
      <c r="N26" s="32">
        <v>0.63715243721002324</v>
      </c>
      <c r="O26" s="32">
        <v>-0.2724755184163854</v>
      </c>
      <c r="P26" s="128">
        <f t="shared" si="2"/>
        <v>-5.5409854888139876E-2</v>
      </c>
      <c r="Q26" s="128">
        <f t="shared" si="3"/>
        <v>-0.69256229209816311</v>
      </c>
      <c r="R26" s="128">
        <f t="shared" si="4"/>
        <v>-0.37398607349314972</v>
      </c>
      <c r="S26" s="100">
        <v>1</v>
      </c>
      <c r="T26" s="99">
        <v>0</v>
      </c>
      <c r="U26" s="99">
        <v>0</v>
      </c>
      <c r="V26" s="99">
        <v>0</v>
      </c>
      <c r="W26" s="99">
        <v>0</v>
      </c>
      <c r="X26" t="s">
        <v>16</v>
      </c>
      <c r="AC26"/>
      <c r="AD26"/>
    </row>
    <row r="27" spans="1:30" s="97" customFormat="1" x14ac:dyDescent="0.3">
      <c r="A27" s="91">
        <v>257</v>
      </c>
      <c r="B27" s="92">
        <v>-32.005255292652556</v>
      </c>
      <c r="C27" s="92">
        <v>-32.239838107098379</v>
      </c>
      <c r="D27" s="93">
        <f t="shared" si="0"/>
        <v>-31.517429718875505</v>
      </c>
      <c r="E27" s="92">
        <v>-31.114078947368423</v>
      </c>
      <c r="F27" s="92">
        <v>-31.758634538152613</v>
      </c>
      <c r="G27" s="92">
        <v>-31.276224899598397</v>
      </c>
      <c r="H27" s="94"/>
      <c r="I27" s="94"/>
      <c r="J27" s="95" t="s">
        <v>18</v>
      </c>
      <c r="K27" s="96">
        <f t="shared" si="1"/>
        <v>-31.651910250624312</v>
      </c>
      <c r="L27" s="32">
        <v>0.40335077150708187</v>
      </c>
      <c r="M27" s="32">
        <v>0.72240838822287401</v>
      </c>
      <c r="N27" s="32">
        <v>-0.23458281444582241</v>
      </c>
      <c r="O27" s="32">
        <v>0.80679236675350552</v>
      </c>
      <c r="P27" s="128">
        <f t="shared" si="2"/>
        <v>0.72240838822287401</v>
      </c>
      <c r="Q27" s="128">
        <f t="shared" si="3"/>
        <v>0.4878255737770516</v>
      </c>
      <c r="R27" s="128">
        <f t="shared" si="4"/>
        <v>0.60511698099996636</v>
      </c>
      <c r="S27" s="106">
        <v>0</v>
      </c>
      <c r="T27" s="102">
        <v>0</v>
      </c>
      <c r="U27" s="102">
        <v>1</v>
      </c>
      <c r="V27" s="102">
        <v>1</v>
      </c>
      <c r="W27" s="102">
        <v>0</v>
      </c>
      <c r="X27" s="97" t="s">
        <v>16</v>
      </c>
    </row>
    <row r="28" spans="1:30" s="131" customFormat="1" x14ac:dyDescent="0.3">
      <c r="A28" s="123">
        <v>258</v>
      </c>
      <c r="B28" s="124">
        <v>-31.571650682613111</v>
      </c>
      <c r="C28" s="124">
        <v>-31.998569333182896</v>
      </c>
      <c r="D28" s="125">
        <f t="shared" si="0"/>
        <v>-30.422594495165324</v>
      </c>
      <c r="E28" s="124">
        <v>-30.019868421052632</v>
      </c>
      <c r="F28" s="124">
        <v>-30.717787133715056</v>
      </c>
      <c r="G28" s="124">
        <v>-30.127401856615592</v>
      </c>
      <c r="H28" s="126"/>
      <c r="I28" s="126"/>
      <c r="J28" s="127" t="s">
        <v>18</v>
      </c>
      <c r="K28" s="128">
        <f t="shared" si="1"/>
        <v>-30.809645320390771</v>
      </c>
      <c r="L28" s="128">
        <v>0.40272607411269234</v>
      </c>
      <c r="M28" s="128">
        <v>1.5759748380175722</v>
      </c>
      <c r="N28" s="128">
        <v>-0.42691865056978529</v>
      </c>
      <c r="O28" s="128">
        <v>1.5638785497890275</v>
      </c>
      <c r="P28" s="128">
        <f t="shared" si="2"/>
        <v>1.5759748380175722</v>
      </c>
      <c r="Q28" s="128">
        <f t="shared" si="3"/>
        <v>1.1490561874477869</v>
      </c>
      <c r="R28" s="128">
        <f t="shared" si="4"/>
        <v>1.3625155127326813</v>
      </c>
      <c r="S28" s="129">
        <v>0</v>
      </c>
      <c r="T28" s="130">
        <v>0</v>
      </c>
      <c r="U28" s="130">
        <v>0</v>
      </c>
      <c r="V28" s="130">
        <v>0</v>
      </c>
      <c r="W28" s="130">
        <v>1</v>
      </c>
      <c r="X28" s="131" t="s">
        <v>16</v>
      </c>
    </row>
    <row r="29" spans="1:30" s="97" customFormat="1" x14ac:dyDescent="0.3">
      <c r="A29" s="91">
        <v>259</v>
      </c>
      <c r="B29" s="92">
        <v>-31.825768926999888</v>
      </c>
      <c r="C29" s="92">
        <v>-31.744451088796122</v>
      </c>
      <c r="D29" s="93">
        <f t="shared" si="0"/>
        <v>-30.933069886798414</v>
      </c>
      <c r="E29" s="92">
        <v>-30.34407894736842</v>
      </c>
      <c r="F29" s="92">
        <v>-31.577521050858874</v>
      </c>
      <c r="G29" s="92">
        <v>-30.288618722737951</v>
      </c>
      <c r="H29" s="94"/>
      <c r="I29" s="94"/>
      <c r="J29" s="95" t="s">
        <v>18</v>
      </c>
      <c r="K29" s="96">
        <f t="shared" si="1"/>
        <v>-31.118918103926614</v>
      </c>
      <c r="L29" s="32">
        <v>0.58899093942999414</v>
      </c>
      <c r="M29" s="32">
        <v>0.81138120199770825</v>
      </c>
      <c r="N29" s="32">
        <v>8.1317838203766257E-2</v>
      </c>
      <c r="O29" s="32">
        <v>1.1465355908145867</v>
      </c>
      <c r="P29" s="128">
        <f t="shared" si="2"/>
        <v>0.8926990402014745</v>
      </c>
      <c r="Q29" s="128">
        <f t="shared" si="3"/>
        <v>0.81138120199770825</v>
      </c>
      <c r="R29" s="128">
        <f t="shared" si="4"/>
        <v>0.85204012109959137</v>
      </c>
      <c r="S29" s="106">
        <v>0</v>
      </c>
      <c r="T29" s="102">
        <v>0</v>
      </c>
      <c r="U29" s="102">
        <v>0</v>
      </c>
      <c r="V29" s="102">
        <v>0</v>
      </c>
      <c r="W29" s="102">
        <v>0</v>
      </c>
      <c r="X29" s="97" t="s">
        <v>16</v>
      </c>
    </row>
    <row r="30" spans="1:30" s="47" customFormat="1" x14ac:dyDescent="0.3">
      <c r="A30" s="40">
        <v>260</v>
      </c>
      <c r="B30" s="44">
        <v>-30.260400541577344</v>
      </c>
      <c r="C30" s="44">
        <v>-29.50821053819249</v>
      </c>
      <c r="D30" s="45" t="str">
        <f t="shared" si="0"/>
        <v/>
      </c>
      <c r="E30" s="44">
        <v>-27.902368421052632</v>
      </c>
      <c r="F30" s="44"/>
      <c r="G30" s="44"/>
      <c r="H30" s="42"/>
      <c r="I30" s="42"/>
      <c r="J30" s="33" t="s">
        <v>18</v>
      </c>
      <c r="K30" s="48">
        <f t="shared" si="1"/>
        <v>-29.223659833607488</v>
      </c>
      <c r="L30" s="32" t="e">
        <v>#VALUE!</v>
      </c>
      <c r="M30" s="32" t="e">
        <v>#VALUE!</v>
      </c>
      <c r="N30" s="32">
        <v>0.75219000338485387</v>
      </c>
      <c r="O30" s="32">
        <v>1.9819371188322847</v>
      </c>
      <c r="P30" s="128" t="str">
        <f t="shared" si="2"/>
        <v/>
      </c>
      <c r="Q30" s="128" t="str">
        <f t="shared" si="3"/>
        <v/>
      </c>
      <c r="R30" s="128" t="str">
        <f t="shared" si="4"/>
        <v/>
      </c>
      <c r="S30" s="103"/>
      <c r="T30" s="104">
        <v>0</v>
      </c>
      <c r="U30" s="104">
        <v>0</v>
      </c>
      <c r="V30" s="104">
        <v>0</v>
      </c>
      <c r="W30" s="104"/>
      <c r="Y30"/>
    </row>
    <row r="31" spans="1:30" x14ac:dyDescent="0.3">
      <c r="A31" s="4">
        <v>277</v>
      </c>
      <c r="B31" s="9">
        <v>-30.992793893129772</v>
      </c>
      <c r="C31" s="9">
        <v>-29.375840707964599</v>
      </c>
      <c r="D31" s="8">
        <f t="shared" si="0"/>
        <v>-30.162447837150125</v>
      </c>
      <c r="E31" s="9">
        <v>-28.498536585365859</v>
      </c>
      <c r="F31" s="9">
        <v>-30.167541984732825</v>
      </c>
      <c r="G31" s="9">
        <v>-30.157353689567429</v>
      </c>
      <c r="H31" s="7"/>
      <c r="I31" s="7"/>
      <c r="J31" s="33" t="s">
        <v>18</v>
      </c>
      <c r="K31" s="32">
        <f t="shared" si="1"/>
        <v>-29.892419116318436</v>
      </c>
      <c r="L31" s="32">
        <v>1.6639112517842669</v>
      </c>
      <c r="M31" s="32">
        <v>-0.78660712918552633</v>
      </c>
      <c r="N31" s="32">
        <v>1.6169531851651726</v>
      </c>
      <c r="O31" s="32">
        <v>0.8538250892891952</v>
      </c>
      <c r="P31" s="128">
        <f t="shared" si="2"/>
        <v>0.83034605597964628</v>
      </c>
      <c r="Q31" s="128">
        <f t="shared" si="3"/>
        <v>-0.78660712918552633</v>
      </c>
      <c r="R31" s="128">
        <f t="shared" si="4"/>
        <v>2.1869463397059974E-2</v>
      </c>
      <c r="S31" s="105">
        <v>1</v>
      </c>
      <c r="T31" s="99">
        <v>0</v>
      </c>
      <c r="U31" s="99">
        <v>0</v>
      </c>
      <c r="V31" s="99">
        <v>0</v>
      </c>
      <c r="W31" s="99">
        <v>0</v>
      </c>
      <c r="X31" t="s">
        <v>16</v>
      </c>
      <c r="AC31"/>
      <c r="AD31"/>
    </row>
    <row r="32" spans="1:30" s="47" customFormat="1" x14ac:dyDescent="0.3">
      <c r="A32" s="40">
        <v>278</v>
      </c>
      <c r="B32" s="44">
        <v>-31.145618320610687</v>
      </c>
      <c r="C32" s="44">
        <v>-30.336637168141589</v>
      </c>
      <c r="D32" s="45" t="str">
        <f t="shared" si="0"/>
        <v/>
      </c>
      <c r="E32" s="44">
        <v>-28.707159493670886</v>
      </c>
      <c r="F32" s="44"/>
      <c r="G32" s="44"/>
      <c r="H32" s="42"/>
      <c r="I32" s="42"/>
      <c r="J32" s="33" t="s">
        <v>18</v>
      </c>
      <c r="K32" s="46">
        <f t="shared" si="1"/>
        <v>-30.063138327474388</v>
      </c>
      <c r="L32" s="32" t="e">
        <v>#VALUE!</v>
      </c>
      <c r="M32" s="32" t="e">
        <v>#VALUE!</v>
      </c>
      <c r="N32" s="32">
        <v>0.80898115246909796</v>
      </c>
      <c r="O32" s="32">
        <v>2.0339682507052501</v>
      </c>
      <c r="P32" s="128" t="str">
        <f t="shared" si="2"/>
        <v/>
      </c>
      <c r="Q32" s="128" t="str">
        <f t="shared" si="3"/>
        <v/>
      </c>
      <c r="R32" s="128" t="str">
        <f t="shared" si="4"/>
        <v/>
      </c>
      <c r="S32" s="103"/>
      <c r="T32" s="104">
        <v>0</v>
      </c>
      <c r="U32" s="104">
        <v>0</v>
      </c>
      <c r="V32" s="104">
        <v>0</v>
      </c>
      <c r="W32" s="104">
        <v>0</v>
      </c>
      <c r="Y32"/>
    </row>
    <row r="33" spans="1:30" s="97" customFormat="1" x14ac:dyDescent="0.3">
      <c r="A33" s="91">
        <v>285</v>
      </c>
      <c r="B33" s="92">
        <v>-29.099318066157799</v>
      </c>
      <c r="C33" s="92">
        <v>-30.019778761061946</v>
      </c>
      <c r="D33" s="93">
        <f t="shared" si="0"/>
        <v>-30.203761061946903</v>
      </c>
      <c r="E33" s="92">
        <v>-29.680283544303801</v>
      </c>
      <c r="F33" s="92">
        <v>-30.162876106194691</v>
      </c>
      <c r="G33" s="92">
        <v>-30.244646017699115</v>
      </c>
      <c r="H33" s="94"/>
      <c r="I33" s="94"/>
      <c r="J33" s="95" t="s">
        <v>18</v>
      </c>
      <c r="K33" s="96">
        <f t="shared" si="1"/>
        <v>-29.901777259560713</v>
      </c>
      <c r="L33" s="32">
        <v>0.52347751764310146</v>
      </c>
      <c r="M33" s="32">
        <v>-0.18398230088495637</v>
      </c>
      <c r="N33" s="32">
        <v>-0.92046069490414695</v>
      </c>
      <c r="O33" s="32">
        <v>-0.38247388951547734</v>
      </c>
      <c r="P33" s="128">
        <f t="shared" si="2"/>
        <v>-0.18398230088495637</v>
      </c>
      <c r="Q33" s="128">
        <f t="shared" si="3"/>
        <v>-1.1044429957891033</v>
      </c>
      <c r="R33" s="128">
        <f t="shared" si="4"/>
        <v>-0.64421264833702807</v>
      </c>
      <c r="S33" s="101">
        <v>0</v>
      </c>
      <c r="T33" s="102">
        <v>1</v>
      </c>
      <c r="U33" s="102">
        <v>1</v>
      </c>
      <c r="V33" s="102">
        <v>1</v>
      </c>
      <c r="W33" s="102">
        <v>0</v>
      </c>
      <c r="X33" s="97" t="s">
        <v>16</v>
      </c>
    </row>
    <row r="34" spans="1:30" s="97" customFormat="1" x14ac:dyDescent="0.3">
      <c r="A34" s="91">
        <v>286</v>
      </c>
      <c r="B34" s="92">
        <v>-31.87292307692308</v>
      </c>
      <c r="C34" s="92">
        <v>-32.019144981412644</v>
      </c>
      <c r="D34" s="93">
        <f t="shared" ref="D34:D65" si="5">IF(AND(ISBLANK(F34),ISBLANK(G34)),"",IF(ISBLANK(F34),G34,IF(ISBLANK(G34),F34,(G34+F34)/2)))</f>
        <v>-31.234425239134083</v>
      </c>
      <c r="E34" s="92">
        <v>-31.49163716814159</v>
      </c>
      <c r="F34" s="92">
        <v>-31.325135089780161</v>
      </c>
      <c r="G34" s="92">
        <v>-31.143715388488001</v>
      </c>
      <c r="H34" s="94"/>
      <c r="I34" s="94"/>
      <c r="J34" s="95" t="s">
        <v>18</v>
      </c>
      <c r="K34" s="96">
        <f t="shared" si="1"/>
        <v>-31.514496823979929</v>
      </c>
      <c r="L34" s="32">
        <v>-0.25721192900750722</v>
      </c>
      <c r="M34" s="32">
        <v>0.78471974227856123</v>
      </c>
      <c r="N34" s="32">
        <v>-0.14622190448956474</v>
      </c>
      <c r="O34" s="32">
        <v>0.58300282553002347</v>
      </c>
      <c r="P34" s="128">
        <f t="shared" si="2"/>
        <v>0.527507813271054</v>
      </c>
      <c r="Q34" s="128">
        <f t="shared" si="3"/>
        <v>0.38128590878148927</v>
      </c>
      <c r="R34" s="128">
        <f t="shared" si="4"/>
        <v>0.45439686102627164</v>
      </c>
      <c r="S34" s="101">
        <v>0</v>
      </c>
      <c r="T34" s="102">
        <v>1</v>
      </c>
      <c r="U34" s="102">
        <v>1</v>
      </c>
      <c r="V34" s="102">
        <v>1</v>
      </c>
      <c r="W34" s="102">
        <v>0</v>
      </c>
      <c r="X34" s="97" t="s">
        <v>16</v>
      </c>
    </row>
    <row r="35" spans="1:30" x14ac:dyDescent="0.3">
      <c r="A35" s="4">
        <v>287</v>
      </c>
      <c r="B35" s="9">
        <v>-31.023358778625951</v>
      </c>
      <c r="C35" s="9">
        <v>-28.832453531598514</v>
      </c>
      <c r="D35" s="8">
        <f t="shared" si="5"/>
        <v>-31.157079404106792</v>
      </c>
      <c r="E35" s="9">
        <v>-30.555247225025226</v>
      </c>
      <c r="F35" s="9">
        <v>-31.275763912310289</v>
      </c>
      <c r="G35" s="9">
        <v>-31.038394895903295</v>
      </c>
      <c r="H35" s="7"/>
      <c r="I35" s="7"/>
      <c r="J35" s="33" t="s">
        <v>18</v>
      </c>
      <c r="K35" s="32">
        <f t="shared" si="1"/>
        <v>-30.647049624595013</v>
      </c>
      <c r="L35" s="32">
        <v>0.6018321790815655</v>
      </c>
      <c r="M35" s="32">
        <v>-2.3246258725082782</v>
      </c>
      <c r="N35" s="32">
        <v>2.1909052470274375</v>
      </c>
      <c r="O35" s="32">
        <v>-0.92825715945377851</v>
      </c>
      <c r="P35" s="128">
        <f t="shared" si="2"/>
        <v>-0.13372062548084074</v>
      </c>
      <c r="Q35" s="128">
        <f t="shared" si="3"/>
        <v>-2.3246258725082782</v>
      </c>
      <c r="R35" s="128">
        <f t="shared" si="4"/>
        <v>-1.2291732489945595</v>
      </c>
      <c r="S35" s="105" t="s">
        <v>21</v>
      </c>
      <c r="T35" s="99">
        <v>0</v>
      </c>
      <c r="U35" s="99">
        <v>0</v>
      </c>
      <c r="V35" s="99">
        <v>0</v>
      </c>
      <c r="W35" s="99">
        <v>0</v>
      </c>
      <c r="X35" t="s">
        <v>16</v>
      </c>
      <c r="AC35"/>
      <c r="AD35"/>
    </row>
    <row r="36" spans="1:30" x14ac:dyDescent="0.3">
      <c r="A36" s="4">
        <v>288</v>
      </c>
      <c r="B36" s="9">
        <v>-31.82631970260223</v>
      </c>
      <c r="C36" s="9">
        <v>-31.349330855018589</v>
      </c>
      <c r="D36" s="8">
        <f t="shared" si="5"/>
        <v>-30.851594252175573</v>
      </c>
      <c r="E36" s="9">
        <v>-30.075615189873421</v>
      </c>
      <c r="F36" s="9">
        <v>-30.875485074626866</v>
      </c>
      <c r="G36" s="9">
        <v>-30.827703429724281</v>
      </c>
      <c r="H36" s="7"/>
      <c r="I36" s="7"/>
      <c r="J36" s="33" t="s">
        <v>18</v>
      </c>
      <c r="K36" s="32">
        <f t="shared" si="1"/>
        <v>-30.96767475067016</v>
      </c>
      <c r="L36" s="32">
        <v>0.7759790623021523</v>
      </c>
      <c r="M36" s="32">
        <v>0.49773660284301613</v>
      </c>
      <c r="N36" s="32">
        <v>0.47698884758364102</v>
      </c>
      <c r="O36" s="32">
        <v>1.1242205577859146</v>
      </c>
      <c r="P36" s="128">
        <f t="shared" si="2"/>
        <v>0.97472545042665715</v>
      </c>
      <c r="Q36" s="128">
        <f t="shared" si="3"/>
        <v>0.49773660284301613</v>
      </c>
      <c r="R36" s="128">
        <f t="shared" si="4"/>
        <v>0.73623102663483664</v>
      </c>
      <c r="S36" s="105">
        <v>0</v>
      </c>
      <c r="T36" s="99">
        <v>0</v>
      </c>
      <c r="U36" s="99">
        <v>0</v>
      </c>
      <c r="V36" s="99">
        <v>0</v>
      </c>
      <c r="W36" s="99">
        <v>0</v>
      </c>
      <c r="X36" t="s">
        <v>16</v>
      </c>
      <c r="AC36"/>
      <c r="AD36"/>
    </row>
    <row r="37" spans="1:30" x14ac:dyDescent="0.3">
      <c r="A37" s="4">
        <v>291</v>
      </c>
      <c r="B37" s="9">
        <v>-32.208000000000006</v>
      </c>
      <c r="C37" s="9">
        <v>-31.271993947545397</v>
      </c>
      <c r="D37" s="8">
        <f t="shared" si="5"/>
        <v>-31.812362227000111</v>
      </c>
      <c r="E37" s="9">
        <v>-31.593849557522123</v>
      </c>
      <c r="F37" s="9">
        <v>-31.970379087925764</v>
      </c>
      <c r="G37" s="9">
        <v>-31.654345366074459</v>
      </c>
      <c r="H37" s="7"/>
      <c r="I37" s="7"/>
      <c r="J37" s="33" t="s">
        <v>18</v>
      </c>
      <c r="K37" s="32">
        <f t="shared" si="1"/>
        <v>-31.751821697677979</v>
      </c>
      <c r="L37" s="32">
        <v>0.2185126694779882</v>
      </c>
      <c r="M37" s="32">
        <v>-0.54036827945471444</v>
      </c>
      <c r="N37" s="32">
        <v>0.93600605245460855</v>
      </c>
      <c r="O37" s="32">
        <v>3.6891081511583934E-2</v>
      </c>
      <c r="P37" s="128">
        <f t="shared" si="2"/>
        <v>0.39563777299989411</v>
      </c>
      <c r="Q37" s="128">
        <f t="shared" si="3"/>
        <v>-0.54036827945471444</v>
      </c>
      <c r="R37" s="128">
        <f t="shared" si="4"/>
        <v>-7.2365253227410165E-2</v>
      </c>
      <c r="S37" s="105" t="s">
        <v>21</v>
      </c>
      <c r="T37" s="99">
        <v>0</v>
      </c>
      <c r="U37" s="99">
        <v>0</v>
      </c>
      <c r="V37" s="99">
        <v>0</v>
      </c>
      <c r="W37" s="99">
        <v>0</v>
      </c>
      <c r="X37" t="s">
        <v>16</v>
      </c>
      <c r="AC37"/>
      <c r="AD37"/>
    </row>
    <row r="38" spans="1:30" s="97" customFormat="1" x14ac:dyDescent="0.3">
      <c r="A38" s="91">
        <v>292</v>
      </c>
      <c r="B38" s="92">
        <v>-34.836402087580659</v>
      </c>
      <c r="C38" s="92">
        <v>-35.052187500000002</v>
      </c>
      <c r="D38" s="93">
        <f t="shared" si="5"/>
        <v>-33.899634668399941</v>
      </c>
      <c r="E38" s="92">
        <v>-35.328201438848929</v>
      </c>
      <c r="F38" s="92">
        <v>-34.403926754376137</v>
      </c>
      <c r="G38" s="92">
        <v>-33.395342582423744</v>
      </c>
      <c r="H38" s="94"/>
      <c r="I38" s="94"/>
      <c r="J38" s="95" t="s">
        <v>18</v>
      </c>
      <c r="K38" s="96">
        <f t="shared" si="1"/>
        <v>-34.485949171938238</v>
      </c>
      <c r="L38" s="32">
        <v>-1.4285667704489882</v>
      </c>
      <c r="M38" s="32">
        <v>1.1525528316000617</v>
      </c>
      <c r="N38" s="32">
        <v>-0.21578541241934346</v>
      </c>
      <c r="O38" s="32">
        <v>0.33037674016590302</v>
      </c>
      <c r="P38" s="128">
        <f t="shared" si="2"/>
        <v>-0.27601393884892644</v>
      </c>
      <c r="Q38" s="128">
        <f t="shared" si="3"/>
        <v>-0.4917993512682699</v>
      </c>
      <c r="R38" s="128">
        <f t="shared" si="4"/>
        <v>-0.38390664505859462</v>
      </c>
      <c r="S38" s="101">
        <v>0</v>
      </c>
      <c r="T38" s="102">
        <v>1</v>
      </c>
      <c r="U38" s="102">
        <v>1</v>
      </c>
      <c r="V38" s="102">
        <v>1</v>
      </c>
      <c r="W38" s="102">
        <v>0</v>
      </c>
      <c r="X38" s="97" t="s">
        <v>16</v>
      </c>
    </row>
    <row r="39" spans="1:30" s="97" customFormat="1" x14ac:dyDescent="0.3">
      <c r="A39" s="91">
        <v>293</v>
      </c>
      <c r="B39" s="92">
        <v>-35.156828896089593</v>
      </c>
      <c r="C39" s="92">
        <v>-35.526562500000004</v>
      </c>
      <c r="D39" s="93">
        <f t="shared" si="5"/>
        <v>-33.66022327404761</v>
      </c>
      <c r="E39" s="92">
        <v>-35.58539568345325</v>
      </c>
      <c r="F39" s="92">
        <v>-33.313840831154863</v>
      </c>
      <c r="G39" s="92">
        <v>-34.006605716940349</v>
      </c>
      <c r="H39" s="94"/>
      <c r="I39" s="94"/>
      <c r="J39" s="95" t="s">
        <v>18</v>
      </c>
      <c r="K39" s="96">
        <f t="shared" si="1"/>
        <v>-34.541576150280946</v>
      </c>
      <c r="L39" s="32">
        <v>-1.9251724094056399</v>
      </c>
      <c r="M39" s="32">
        <v>1.8663392259523945</v>
      </c>
      <c r="N39" s="32">
        <v>-0.36973360391041155</v>
      </c>
      <c r="O39" s="32">
        <v>0.71888621929437591</v>
      </c>
      <c r="P39" s="128">
        <f t="shared" si="2"/>
        <v>-5.8833183453245397E-2</v>
      </c>
      <c r="Q39" s="128">
        <f t="shared" si="3"/>
        <v>-0.42856678736365694</v>
      </c>
      <c r="R39" s="128">
        <f t="shared" si="4"/>
        <v>-0.24369998540844762</v>
      </c>
      <c r="S39" s="101">
        <v>0</v>
      </c>
      <c r="T39" s="102">
        <v>1</v>
      </c>
      <c r="U39" s="102">
        <v>1</v>
      </c>
      <c r="V39" s="102">
        <v>1</v>
      </c>
      <c r="W39" s="102">
        <v>0</v>
      </c>
      <c r="X39" s="97" t="s">
        <v>16</v>
      </c>
    </row>
    <row r="40" spans="1:30" x14ac:dyDescent="0.3">
      <c r="A40" s="4">
        <v>294</v>
      </c>
      <c r="B40" s="9">
        <v>-35.076722193962361</v>
      </c>
      <c r="C40" s="9">
        <v>-35.84225806451613</v>
      </c>
      <c r="D40" s="8">
        <f t="shared" si="5"/>
        <v>-34.87808920801325</v>
      </c>
      <c r="E40" s="9">
        <v>-35.194460431654683</v>
      </c>
      <c r="F40" s="9">
        <v>-35.23438202247192</v>
      </c>
      <c r="G40" s="9">
        <v>-34.521796393554574</v>
      </c>
      <c r="H40" s="7"/>
      <c r="I40" s="7"/>
      <c r="J40" s="33" t="s">
        <v>18</v>
      </c>
      <c r="K40" s="32">
        <f t="shared" si="1"/>
        <v>-35.124618052362152</v>
      </c>
      <c r="L40" s="32">
        <v>-0.31637122364143266</v>
      </c>
      <c r="M40" s="32">
        <v>0.96416885650288009</v>
      </c>
      <c r="N40" s="32">
        <v>-0.76553587055376937</v>
      </c>
      <c r="O40" s="32">
        <v>0.42321530940527907</v>
      </c>
      <c r="P40" s="128">
        <f t="shared" si="2"/>
        <v>0.64779763286144743</v>
      </c>
      <c r="Q40" s="128">
        <f t="shared" si="3"/>
        <v>-0.11773823769232195</v>
      </c>
      <c r="R40" s="128">
        <f t="shared" si="4"/>
        <v>0.26502969758455919</v>
      </c>
      <c r="S40" s="105">
        <v>0</v>
      </c>
      <c r="T40" s="99">
        <v>1</v>
      </c>
      <c r="U40" s="99">
        <v>1</v>
      </c>
      <c r="V40" s="99">
        <v>1</v>
      </c>
      <c r="W40" s="99">
        <v>0</v>
      </c>
      <c r="X40" t="s">
        <v>16</v>
      </c>
      <c r="AC40"/>
      <c r="AD40"/>
    </row>
    <row r="41" spans="1:30" s="97" customFormat="1" x14ac:dyDescent="0.3">
      <c r="A41" s="91">
        <v>296</v>
      </c>
      <c r="B41" s="92">
        <v>-35.297015624812246</v>
      </c>
      <c r="C41" s="92">
        <v>-35.660624999999996</v>
      </c>
      <c r="D41" s="93">
        <f t="shared" si="5"/>
        <v>-33.741725025316484</v>
      </c>
      <c r="E41" s="92">
        <v>-32.303597122302165</v>
      </c>
      <c r="F41" s="92">
        <v>-33.405530301332348</v>
      </c>
      <c r="G41" s="92">
        <v>-34.077919749300619</v>
      </c>
      <c r="H41" s="94"/>
      <c r="I41" s="94"/>
      <c r="J41" s="95" t="s">
        <v>18</v>
      </c>
      <c r="K41" s="96">
        <f t="shared" si="1"/>
        <v>-34.081068803843976</v>
      </c>
      <c r="L41" s="32">
        <v>1.438127903014319</v>
      </c>
      <c r="M41" s="32">
        <v>1.9188999746835123</v>
      </c>
      <c r="N41" s="32">
        <v>-0.36360937518774961</v>
      </c>
      <c r="O41" s="32">
        <v>2.456159238596797</v>
      </c>
      <c r="P41" s="128">
        <f t="shared" si="2"/>
        <v>1.9188999746835123</v>
      </c>
      <c r="Q41" s="128">
        <f t="shared" si="3"/>
        <v>1.5552905994957626</v>
      </c>
      <c r="R41" s="128">
        <f t="shared" si="4"/>
        <v>1.7370952870896375</v>
      </c>
      <c r="S41" s="101">
        <v>0</v>
      </c>
      <c r="T41" s="102">
        <v>0</v>
      </c>
      <c r="U41" s="102">
        <v>0</v>
      </c>
      <c r="V41" s="102">
        <v>0</v>
      </c>
      <c r="W41" s="102">
        <v>1</v>
      </c>
      <c r="X41" s="97" t="s">
        <v>16</v>
      </c>
    </row>
    <row r="42" spans="1:30" x14ac:dyDescent="0.3">
      <c r="A42" s="4">
        <v>297</v>
      </c>
      <c r="B42" s="9">
        <v>-34.956562140771503</v>
      </c>
      <c r="C42" s="9">
        <v>-35.696430801248702</v>
      </c>
      <c r="D42" s="8">
        <f t="shared" si="5"/>
        <v>-34.627552448676724</v>
      </c>
      <c r="E42" s="9">
        <v>-35.626546762589939</v>
      </c>
      <c r="F42" s="9">
        <v>-34.723146067415733</v>
      </c>
      <c r="G42" s="9">
        <v>-34.531958829937722</v>
      </c>
      <c r="H42" s="7"/>
      <c r="I42" s="7"/>
      <c r="J42" s="33" t="s">
        <v>18</v>
      </c>
      <c r="K42" s="32">
        <f t="shared" si="1"/>
        <v>-35.027032841773384</v>
      </c>
      <c r="L42" s="32">
        <v>-0.99899431391321514</v>
      </c>
      <c r="M42" s="32">
        <v>1.0688783525719785</v>
      </c>
      <c r="N42" s="32">
        <v>-0.73986866047719957</v>
      </c>
      <c r="O42" s="32">
        <v>0.19944686537677114</v>
      </c>
      <c r="P42" s="128">
        <f t="shared" si="2"/>
        <v>6.9884038658763359E-2</v>
      </c>
      <c r="Q42" s="128">
        <f t="shared" si="3"/>
        <v>-0.66998462181843621</v>
      </c>
      <c r="R42" s="128">
        <f t="shared" si="4"/>
        <v>-0.30005029157983643</v>
      </c>
      <c r="S42" s="105">
        <v>0</v>
      </c>
      <c r="T42" s="99">
        <v>1</v>
      </c>
      <c r="U42" s="99">
        <v>1</v>
      </c>
      <c r="V42" s="99">
        <v>1</v>
      </c>
      <c r="W42" s="99">
        <v>0</v>
      </c>
      <c r="X42" t="s">
        <v>16</v>
      </c>
      <c r="AC42"/>
      <c r="AD42"/>
    </row>
    <row r="43" spans="1:30" x14ac:dyDescent="0.3">
      <c r="A43" s="4">
        <v>298</v>
      </c>
      <c r="B43" s="9">
        <v>-34.836402087580659</v>
      </c>
      <c r="C43" s="9">
        <v>-35.383943808532777</v>
      </c>
      <c r="D43" s="8">
        <f t="shared" si="5"/>
        <v>-33.374967144606522</v>
      </c>
      <c r="E43" s="9">
        <v>-29.772805755395691</v>
      </c>
      <c r="F43" s="9">
        <v>-32.916519793719068</v>
      </c>
      <c r="G43" s="9">
        <v>-33.833414495493976</v>
      </c>
      <c r="H43" s="7"/>
      <c r="I43" s="7"/>
      <c r="J43" s="33" t="s">
        <v>18</v>
      </c>
      <c r="K43" s="32">
        <f t="shared" si="1"/>
        <v>-33.353008847554783</v>
      </c>
      <c r="L43" s="32">
        <v>3.6021613892108313</v>
      </c>
      <c r="M43" s="32">
        <v>2.008976663926255</v>
      </c>
      <c r="N43" s="32">
        <v>-0.54754172095211828</v>
      </c>
      <c r="O43" s="32">
        <v>3.5362864980556097</v>
      </c>
      <c r="P43" s="128">
        <f t="shared" si="2"/>
        <v>2.008976663926255</v>
      </c>
      <c r="Q43" s="128">
        <f t="shared" si="3"/>
        <v>1.4614349429741367</v>
      </c>
      <c r="R43" s="128">
        <f t="shared" si="4"/>
        <v>1.7352058034501923</v>
      </c>
      <c r="S43" s="105">
        <v>0</v>
      </c>
      <c r="T43" s="99">
        <v>0</v>
      </c>
      <c r="U43" s="99">
        <v>0</v>
      </c>
      <c r="V43" s="99">
        <v>0</v>
      </c>
      <c r="W43" s="99">
        <v>1</v>
      </c>
      <c r="X43" t="s">
        <v>16</v>
      </c>
      <c r="AC43"/>
      <c r="AD43"/>
    </row>
    <row r="44" spans="1:30" s="97" customFormat="1" x14ac:dyDescent="0.3">
      <c r="A44" s="91">
        <v>299</v>
      </c>
      <c r="B44" s="92">
        <v>-34.876455438644271</v>
      </c>
      <c r="C44" s="92">
        <v>-35.134687499999998</v>
      </c>
      <c r="D44" s="93">
        <f t="shared" si="5"/>
        <v>-34.633412200842997</v>
      </c>
      <c r="E44" s="92">
        <v>-35.461942446043167</v>
      </c>
      <c r="F44" s="92">
        <v>-34.978764044943823</v>
      </c>
      <c r="G44" s="92">
        <v>-34.288060356742172</v>
      </c>
      <c r="H44" s="94"/>
      <c r="I44" s="94"/>
      <c r="J44" s="95" t="s">
        <v>18</v>
      </c>
      <c r="K44" s="96">
        <f t="shared" si="1"/>
        <v>-34.895553664536074</v>
      </c>
      <c r="L44" s="32">
        <v>-0.82853024520017016</v>
      </c>
      <c r="M44" s="32">
        <v>0.50127529915700109</v>
      </c>
      <c r="N44" s="32">
        <v>-0.25823206135572718</v>
      </c>
      <c r="O44" s="32">
        <v>-4.2105854120947583E-2</v>
      </c>
      <c r="P44" s="128">
        <f t="shared" si="2"/>
        <v>-0.32725494604316907</v>
      </c>
      <c r="Q44" s="128">
        <f t="shared" si="3"/>
        <v>-0.58548700739889625</v>
      </c>
      <c r="R44" s="128">
        <f t="shared" si="4"/>
        <v>-0.45637097672103266</v>
      </c>
      <c r="S44" s="101">
        <v>0</v>
      </c>
      <c r="T44" s="102">
        <v>1</v>
      </c>
      <c r="U44" s="102">
        <v>1</v>
      </c>
      <c r="V44" s="102">
        <v>1</v>
      </c>
      <c r="W44" s="102">
        <v>0</v>
      </c>
      <c r="X44" s="97" t="s">
        <v>16</v>
      </c>
    </row>
    <row r="45" spans="1:30" x14ac:dyDescent="0.3">
      <c r="A45" s="4">
        <v>300</v>
      </c>
      <c r="B45" s="9">
        <v>-34.616108656730766</v>
      </c>
      <c r="C45" s="9">
        <v>-35.330624999999998</v>
      </c>
      <c r="D45" s="8">
        <f t="shared" si="5"/>
        <v>-34.868175902501996</v>
      </c>
      <c r="E45" s="9">
        <v>-36.0894964028777</v>
      </c>
      <c r="F45" s="9">
        <v>-35.316179775280901</v>
      </c>
      <c r="G45" s="9">
        <v>-34.420172029723091</v>
      </c>
      <c r="H45" s="7"/>
      <c r="I45" s="7"/>
      <c r="J45" s="33" t="s">
        <v>18</v>
      </c>
      <c r="K45" s="32">
        <f t="shared" si="1"/>
        <v>-35.106792961185747</v>
      </c>
      <c r="L45" s="32">
        <v>-1.2213205003757039</v>
      </c>
      <c r="M45" s="32">
        <v>0.462449097498002</v>
      </c>
      <c r="N45" s="32">
        <v>-0.71451634326923141</v>
      </c>
      <c r="O45" s="32">
        <v>-0.50546932432446567</v>
      </c>
      <c r="P45" s="128">
        <f t="shared" si="2"/>
        <v>-0.75887140287770194</v>
      </c>
      <c r="Q45" s="128">
        <f t="shared" si="3"/>
        <v>-1.4733877461469334</v>
      </c>
      <c r="R45" s="128">
        <f t="shared" si="4"/>
        <v>-1.1161295745123141</v>
      </c>
      <c r="S45" s="105">
        <v>0</v>
      </c>
      <c r="T45" s="99">
        <v>1</v>
      </c>
      <c r="U45" s="99">
        <v>1</v>
      </c>
      <c r="V45" s="99">
        <v>1</v>
      </c>
      <c r="W45" s="99">
        <v>0</v>
      </c>
      <c r="X45" t="s">
        <v>16</v>
      </c>
      <c r="AC45"/>
      <c r="AD45"/>
    </row>
    <row r="46" spans="1:30" x14ac:dyDescent="0.3">
      <c r="A46" s="4">
        <v>301</v>
      </c>
      <c r="B46" s="9">
        <v>-34.50596194130582</v>
      </c>
      <c r="C46" s="9">
        <v>-35.331862643080129</v>
      </c>
      <c r="D46" s="8">
        <f t="shared" si="5"/>
        <v>-34.296650439044654</v>
      </c>
      <c r="E46" s="9">
        <v>-35.338489208633099</v>
      </c>
      <c r="F46" s="9">
        <v>-34.518651685393259</v>
      </c>
      <c r="G46" s="9">
        <v>-34.074649192696057</v>
      </c>
      <c r="H46" s="7"/>
      <c r="I46" s="7"/>
      <c r="J46" s="33" t="s">
        <v>18</v>
      </c>
      <c r="K46" s="32">
        <f t="shared" si="1"/>
        <v>-34.677710851692169</v>
      </c>
      <c r="L46" s="32">
        <v>-1.0418387695884448</v>
      </c>
      <c r="M46" s="32">
        <v>1.0352122040354743</v>
      </c>
      <c r="N46" s="32">
        <v>-0.82590070177430874</v>
      </c>
      <c r="O46" s="32">
        <v>0.10134246835409044</v>
      </c>
      <c r="P46" s="128">
        <f t="shared" si="2"/>
        <v>-6.6265655529704759E-3</v>
      </c>
      <c r="Q46" s="128">
        <f t="shared" si="3"/>
        <v>-0.83252726732727922</v>
      </c>
      <c r="R46" s="128">
        <f t="shared" si="4"/>
        <v>-0.4195769164401284</v>
      </c>
      <c r="S46" s="105">
        <v>0</v>
      </c>
      <c r="T46" s="99">
        <v>1</v>
      </c>
      <c r="U46" s="99">
        <v>1</v>
      </c>
      <c r="V46" s="99">
        <v>1</v>
      </c>
      <c r="W46" s="99">
        <v>0</v>
      </c>
      <c r="X46" t="s">
        <v>16</v>
      </c>
      <c r="AC46"/>
      <c r="AD46"/>
    </row>
    <row r="47" spans="1:30" x14ac:dyDescent="0.3">
      <c r="A47" s="4">
        <v>310</v>
      </c>
      <c r="B47" s="9">
        <v>-33.554694853544923</v>
      </c>
      <c r="C47" s="9">
        <v>-34.42</v>
      </c>
      <c r="D47" s="8">
        <f t="shared" si="5"/>
        <v>-32.407133848288566</v>
      </c>
      <c r="E47" s="9">
        <v>-32.52992805755396</v>
      </c>
      <c r="F47" s="9">
        <v>-33.099898734074053</v>
      </c>
      <c r="G47" s="9">
        <v>-31.714368962503084</v>
      </c>
      <c r="H47" s="7"/>
      <c r="I47" s="7"/>
      <c r="J47" s="33" t="s">
        <v>18</v>
      </c>
      <c r="K47" s="32">
        <f t="shared" si="1"/>
        <v>-32.954337409327429</v>
      </c>
      <c r="L47" s="32">
        <v>-0.12279420926539331</v>
      </c>
      <c r="M47" s="32">
        <v>2.0128661517114352</v>
      </c>
      <c r="N47" s="32">
        <v>-0.8653051464550785</v>
      </c>
      <c r="O47" s="32">
        <v>1.5188164738511958</v>
      </c>
      <c r="P47" s="128">
        <f t="shared" si="2"/>
        <v>1.8900719424460419</v>
      </c>
      <c r="Q47" s="128">
        <f t="shared" si="3"/>
        <v>1.0247667959909634</v>
      </c>
      <c r="R47" s="128">
        <f t="shared" si="4"/>
        <v>1.4574193692184991</v>
      </c>
      <c r="S47" s="105">
        <v>0</v>
      </c>
      <c r="T47" s="99">
        <v>0</v>
      </c>
      <c r="U47" s="99">
        <v>0</v>
      </c>
      <c r="V47" s="99">
        <v>0</v>
      </c>
      <c r="W47" s="99">
        <v>1</v>
      </c>
      <c r="X47" t="s">
        <v>16</v>
      </c>
      <c r="AC47"/>
      <c r="AD47"/>
    </row>
    <row r="48" spans="1:30" s="47" customFormat="1" x14ac:dyDescent="0.3">
      <c r="A48" s="40">
        <v>311</v>
      </c>
      <c r="B48" s="44">
        <v>-33.75106496985935</v>
      </c>
      <c r="C48" s="44">
        <v>-32.743328572272702</v>
      </c>
      <c r="D48" s="45" t="str">
        <f t="shared" si="5"/>
        <v/>
      </c>
      <c r="E48" s="44">
        <v>-28.393847715736044</v>
      </c>
      <c r="F48" s="44"/>
      <c r="G48" s="44"/>
      <c r="H48" s="42"/>
      <c r="I48" s="42"/>
      <c r="J48" s="33" t="s">
        <v>18</v>
      </c>
      <c r="K48" s="46">
        <f t="shared" si="1"/>
        <v>-31.6294137526227</v>
      </c>
      <c r="L48" s="32" t="e">
        <v>#VALUE!</v>
      </c>
      <c r="M48" s="32" t="e">
        <v>#VALUE!</v>
      </c>
      <c r="N48" s="32">
        <v>1.0077363975866476</v>
      </c>
      <c r="O48" s="32">
        <v>4.8533490553299856</v>
      </c>
      <c r="P48" s="128" t="str">
        <f t="shared" si="2"/>
        <v/>
      </c>
      <c r="Q48" s="128" t="str">
        <f t="shared" si="3"/>
        <v/>
      </c>
      <c r="R48" s="128" t="str">
        <f t="shared" si="4"/>
        <v/>
      </c>
      <c r="S48" s="107"/>
      <c r="T48" s="104"/>
      <c r="U48" s="104"/>
      <c r="V48" s="104"/>
      <c r="W48" s="104"/>
      <c r="Y48"/>
    </row>
    <row r="49" spans="1:30" s="47" customFormat="1" x14ac:dyDescent="0.3">
      <c r="A49" s="40">
        <v>313</v>
      </c>
      <c r="B49" s="44">
        <v>-31.156376423308775</v>
      </c>
      <c r="C49" s="44">
        <v>-33.21</v>
      </c>
      <c r="D49" s="45" t="str">
        <f t="shared" si="5"/>
        <v/>
      </c>
      <c r="E49" s="44">
        <v>-30.369496402877701</v>
      </c>
      <c r="F49" s="44"/>
      <c r="G49" s="44"/>
      <c r="H49" s="42"/>
      <c r="I49" s="42"/>
      <c r="J49" s="33" t="s">
        <v>18</v>
      </c>
      <c r="K49" s="46">
        <f t="shared" si="1"/>
        <v>-31.578624275395494</v>
      </c>
      <c r="L49" s="32" t="e">
        <v>#VALUE!</v>
      </c>
      <c r="M49" s="32" t="e">
        <v>#VALUE!</v>
      </c>
      <c r="N49" s="32">
        <v>-2.0536235766912263</v>
      </c>
      <c r="O49" s="32">
        <v>1.8136918087766887</v>
      </c>
      <c r="P49" s="128" t="str">
        <f t="shared" si="2"/>
        <v/>
      </c>
      <c r="Q49" s="128" t="str">
        <f t="shared" si="3"/>
        <v/>
      </c>
      <c r="R49" s="128" t="str">
        <f t="shared" si="4"/>
        <v/>
      </c>
      <c r="S49" s="107"/>
      <c r="T49" s="104"/>
      <c r="U49" s="104"/>
      <c r="V49" s="104"/>
      <c r="W49" s="104"/>
      <c r="Y49"/>
    </row>
    <row r="50" spans="1:30" x14ac:dyDescent="0.3">
      <c r="A50" s="4">
        <v>317</v>
      </c>
      <c r="B50" s="9">
        <v>-34.395815225880874</v>
      </c>
      <c r="C50" s="9">
        <v>-35.133954214360038</v>
      </c>
      <c r="D50" s="8">
        <f t="shared" si="5"/>
        <v>-32.829924182995882</v>
      </c>
      <c r="E50" s="9">
        <v>-31.562877697841731</v>
      </c>
      <c r="F50" s="9">
        <v>-32.722953134455473</v>
      </c>
      <c r="G50" s="9">
        <v>-32.93689523153629</v>
      </c>
      <c r="H50" s="7"/>
      <c r="I50" s="7"/>
      <c r="J50" s="33" t="s">
        <v>18</v>
      </c>
      <c r="K50" s="32">
        <f t="shared" si="1"/>
        <v>-33.263736614511714</v>
      </c>
      <c r="L50" s="32">
        <v>1.2670464851541503</v>
      </c>
      <c r="M50" s="32">
        <v>2.3040300313641566</v>
      </c>
      <c r="N50" s="32">
        <v>-0.73813898847916448</v>
      </c>
      <c r="O50" s="32">
        <v>2.5684837797016513</v>
      </c>
      <c r="P50" s="128">
        <f t="shared" si="2"/>
        <v>2.3040300313641566</v>
      </c>
      <c r="Q50" s="128">
        <f t="shared" si="3"/>
        <v>1.5658910428849921</v>
      </c>
      <c r="R50" s="128">
        <f t="shared" si="4"/>
        <v>1.9349605371245744</v>
      </c>
      <c r="S50" s="105">
        <v>0</v>
      </c>
      <c r="T50" s="99">
        <v>0</v>
      </c>
      <c r="U50" s="99">
        <v>0</v>
      </c>
      <c r="V50" s="99">
        <v>0</v>
      </c>
      <c r="W50" s="99">
        <v>1</v>
      </c>
      <c r="X50" t="s">
        <v>16</v>
      </c>
      <c r="AC50"/>
      <c r="AD50"/>
    </row>
    <row r="51" spans="1:30" x14ac:dyDescent="0.3">
      <c r="A51" s="4">
        <v>318</v>
      </c>
      <c r="B51" s="9">
        <v>-34.746282047687522</v>
      </c>
      <c r="C51" s="9">
        <v>-34.727721123829355</v>
      </c>
      <c r="D51" s="8">
        <f t="shared" si="5"/>
        <v>-32.325632097019692</v>
      </c>
      <c r="E51" s="9">
        <v>-33.599856115107919</v>
      </c>
      <c r="F51" s="9">
        <v>-32.132065437756097</v>
      </c>
      <c r="G51" s="9">
        <v>-32.519198756283281</v>
      </c>
      <c r="H51" s="7"/>
      <c r="I51" s="7"/>
      <c r="J51" s="33" t="s">
        <v>18</v>
      </c>
      <c r="K51" s="32">
        <f t="shared" si="1"/>
        <v>-33.341792596280648</v>
      </c>
      <c r="L51" s="32">
        <v>-1.2742240180882263</v>
      </c>
      <c r="M51" s="32">
        <v>2.4020890268096622</v>
      </c>
      <c r="N51" s="32">
        <v>1.8560923858167655E-2</v>
      </c>
      <c r="O51" s="32">
        <v>1.7742574796946258</v>
      </c>
      <c r="P51" s="128">
        <f t="shared" si="2"/>
        <v>1.1464259325796036</v>
      </c>
      <c r="Q51" s="128">
        <f t="shared" si="3"/>
        <v>1.1278650087214359</v>
      </c>
      <c r="R51" s="128">
        <f t="shared" si="4"/>
        <v>1.1371454706505162</v>
      </c>
      <c r="S51" s="105">
        <v>0</v>
      </c>
      <c r="T51" s="99">
        <v>0</v>
      </c>
      <c r="U51" s="99">
        <v>0</v>
      </c>
      <c r="V51" s="99">
        <v>0</v>
      </c>
      <c r="W51" s="99">
        <v>1</v>
      </c>
      <c r="X51" t="s">
        <v>16</v>
      </c>
      <c r="AC51"/>
      <c r="AD51"/>
    </row>
    <row r="52" spans="1:30" s="97" customFormat="1" x14ac:dyDescent="0.3">
      <c r="A52" s="91">
        <v>319</v>
      </c>
      <c r="B52" s="92">
        <v>-30.881133670048506</v>
      </c>
      <c r="C52" s="92">
        <v>-31.175785639958381</v>
      </c>
      <c r="D52" s="93" t="str">
        <f t="shared" si="5"/>
        <v/>
      </c>
      <c r="E52" s="92">
        <v>-29.525899280575544</v>
      </c>
      <c r="F52" s="92"/>
      <c r="G52" s="92"/>
      <c r="H52" s="94"/>
      <c r="I52" s="94"/>
      <c r="J52" s="95" t="s">
        <v>18</v>
      </c>
      <c r="K52" s="96">
        <f t="shared" si="1"/>
        <v>-30.527606196860813</v>
      </c>
      <c r="L52" s="32" t="e">
        <v>#VALUE!</v>
      </c>
      <c r="M52" s="32" t="e">
        <v>#VALUE!</v>
      </c>
      <c r="N52" s="32">
        <v>-0.29465196990987508</v>
      </c>
      <c r="O52" s="32">
        <v>1.502560374427901</v>
      </c>
      <c r="P52" s="128" t="str">
        <f t="shared" si="2"/>
        <v/>
      </c>
      <c r="Q52" s="128" t="str">
        <f t="shared" si="3"/>
        <v/>
      </c>
      <c r="R52" s="128" t="str">
        <f t="shared" si="4"/>
        <v/>
      </c>
      <c r="S52" s="108"/>
      <c r="T52" s="102"/>
      <c r="U52" s="102"/>
      <c r="V52" s="102"/>
      <c r="W52" s="102"/>
    </row>
    <row r="53" spans="1:30" x14ac:dyDescent="0.3">
      <c r="A53" s="4">
        <v>323</v>
      </c>
      <c r="B53" s="9">
        <v>-31.852427433341209</v>
      </c>
      <c r="C53" s="9">
        <v>-31.645827411167513</v>
      </c>
      <c r="D53" s="8">
        <f t="shared" si="5"/>
        <v>-30.975759341628859</v>
      </c>
      <c r="E53" s="9">
        <v>-34.165683453237413</v>
      </c>
      <c r="F53" s="9">
        <v>-31.469863708696444</v>
      </c>
      <c r="G53" s="9">
        <v>-30.48165497456127</v>
      </c>
      <c r="H53" s="7"/>
      <c r="I53" s="7"/>
      <c r="J53" s="33" t="s">
        <v>18</v>
      </c>
      <c r="K53" s="32">
        <f t="shared" si="1"/>
        <v>-31.765202720438783</v>
      </c>
      <c r="L53" s="32">
        <v>-3.1899241116085548</v>
      </c>
      <c r="M53" s="32">
        <v>0.6700680695386545</v>
      </c>
      <c r="N53" s="32">
        <v>0.20660002217369566</v>
      </c>
      <c r="O53" s="32">
        <v>-0.82159397517877153</v>
      </c>
      <c r="P53" s="128">
        <f t="shared" si="2"/>
        <v>-2.3132560198962047</v>
      </c>
      <c r="Q53" s="128">
        <f t="shared" si="3"/>
        <v>-2.5198560420699003</v>
      </c>
      <c r="R53" s="128">
        <f t="shared" si="4"/>
        <v>-2.4165560309830525</v>
      </c>
      <c r="S53" s="105">
        <v>0</v>
      </c>
      <c r="T53" s="99">
        <v>0</v>
      </c>
      <c r="U53" s="99">
        <v>0</v>
      </c>
      <c r="V53" s="99">
        <v>0</v>
      </c>
      <c r="W53" s="99">
        <v>0</v>
      </c>
      <c r="X53" t="s">
        <v>16</v>
      </c>
      <c r="AC53"/>
      <c r="AD53"/>
    </row>
    <row r="54" spans="1:30" s="47" customFormat="1" x14ac:dyDescent="0.3">
      <c r="A54" s="40">
        <v>324</v>
      </c>
      <c r="B54" s="44">
        <v>-29.4912558825378</v>
      </c>
      <c r="C54" s="44">
        <v>-29.605511148420803</v>
      </c>
      <c r="D54" s="45" t="str">
        <f t="shared" si="5"/>
        <v/>
      </c>
      <c r="E54" s="44"/>
      <c r="F54" s="44"/>
      <c r="G54" s="44"/>
      <c r="H54" s="42"/>
      <c r="I54" s="42"/>
      <c r="J54" s="33" t="s">
        <v>18</v>
      </c>
      <c r="K54" s="46">
        <f t="shared" si="1"/>
        <v>-29.548383515479301</v>
      </c>
      <c r="L54" s="32" t="e">
        <v>#VALUE!</v>
      </c>
      <c r="M54" s="32" t="e">
        <v>#VALUE!</v>
      </c>
      <c r="N54" s="32">
        <v>-0.11425526588300272</v>
      </c>
      <c r="O54" s="32" t="e">
        <v>#DIV/0!</v>
      </c>
      <c r="P54" s="128" t="str">
        <f t="shared" si="2"/>
        <v/>
      </c>
      <c r="Q54" s="128" t="str">
        <f t="shared" si="3"/>
        <v/>
      </c>
      <c r="R54" s="128" t="str">
        <f t="shared" si="4"/>
        <v/>
      </c>
      <c r="S54" s="107"/>
      <c r="T54" s="104"/>
      <c r="U54" s="104"/>
      <c r="V54" s="104"/>
      <c r="W54" s="104"/>
      <c r="Y54"/>
    </row>
    <row r="55" spans="1:30" x14ac:dyDescent="0.3">
      <c r="A55" s="4">
        <v>325</v>
      </c>
      <c r="B55" s="9">
        <v>-35.046682180664646</v>
      </c>
      <c r="C55" s="9">
        <v>-35.258437499999999</v>
      </c>
      <c r="D55" s="8">
        <f t="shared" si="5"/>
        <v>-33.481938193146931</v>
      </c>
      <c r="E55" s="9">
        <v>-34.597769784172669</v>
      </c>
      <c r="F55" s="9">
        <v>-32.987833826079346</v>
      </c>
      <c r="G55" s="9">
        <v>-33.976042560214516</v>
      </c>
      <c r="H55" s="7"/>
      <c r="I55" s="7"/>
      <c r="J55" s="33" t="s">
        <v>18</v>
      </c>
      <c r="K55" s="32">
        <f t="shared" si="1"/>
        <v>-34.224784007379689</v>
      </c>
      <c r="L55" s="32">
        <v>-1.1158315910257386</v>
      </c>
      <c r="M55" s="32">
        <v>1.7764993068530686</v>
      </c>
      <c r="N55" s="32">
        <v>-0.21175531933535297</v>
      </c>
      <c r="O55" s="32">
        <v>1.1127058516725228</v>
      </c>
      <c r="P55" s="128">
        <f t="shared" si="2"/>
        <v>0.66066771582732997</v>
      </c>
      <c r="Q55" s="128">
        <f t="shared" si="3"/>
        <v>0.44891239649197701</v>
      </c>
      <c r="R55" s="128">
        <f t="shared" si="4"/>
        <v>0.55479005615965349</v>
      </c>
      <c r="S55" s="105">
        <v>0</v>
      </c>
      <c r="T55" s="99">
        <v>1</v>
      </c>
      <c r="U55" s="99">
        <v>1</v>
      </c>
      <c r="V55" s="99">
        <v>1</v>
      </c>
      <c r="W55" s="99">
        <v>0</v>
      </c>
      <c r="X55" t="s">
        <v>16</v>
      </c>
      <c r="AC55"/>
      <c r="AD55"/>
    </row>
    <row r="56" spans="1:30" x14ac:dyDescent="0.3">
      <c r="A56" s="4">
        <v>326</v>
      </c>
      <c r="B56" s="9">
        <v>-34.662466383383894</v>
      </c>
      <c r="C56" s="9">
        <v>-35.340000000000003</v>
      </c>
      <c r="D56" s="8">
        <f t="shared" si="5"/>
        <v>-35.338693220338982</v>
      </c>
      <c r="E56" s="9">
        <v>-35.140189830508483</v>
      </c>
      <c r="F56" s="9">
        <v>-35.130010169491527</v>
      </c>
      <c r="G56" s="9">
        <v>-35.547376271186444</v>
      </c>
      <c r="H56" s="7"/>
      <c r="I56" s="7"/>
      <c r="J56" s="33" t="s">
        <v>18</v>
      </c>
      <c r="K56" s="32">
        <f t="shared" si="1"/>
        <v>-35.193122645818221</v>
      </c>
      <c r="L56" s="32">
        <v>0.19850338983049909</v>
      </c>
      <c r="M56" s="32">
        <v>1.306779661021551E-3</v>
      </c>
      <c r="N56" s="32">
        <v>-0.67753361661610967</v>
      </c>
      <c r="O56" s="32">
        <v>-0.23820833373177663</v>
      </c>
      <c r="P56" s="128">
        <f t="shared" si="2"/>
        <v>1.306779661021551E-3</v>
      </c>
      <c r="Q56" s="128">
        <f t="shared" si="3"/>
        <v>-0.67622683695508812</v>
      </c>
      <c r="R56" s="128">
        <f t="shared" si="4"/>
        <v>-0.33746002864702973</v>
      </c>
      <c r="S56" s="105">
        <v>0</v>
      </c>
      <c r="T56" s="99">
        <v>1</v>
      </c>
      <c r="U56" s="99">
        <v>1</v>
      </c>
      <c r="V56" s="99">
        <v>1</v>
      </c>
      <c r="W56" s="99">
        <v>0</v>
      </c>
      <c r="X56" t="s">
        <v>16</v>
      </c>
      <c r="AC56"/>
      <c r="AD56"/>
    </row>
    <row r="57" spans="1:30" x14ac:dyDescent="0.3">
      <c r="A57" s="4">
        <v>327</v>
      </c>
      <c r="B57" s="9">
        <v>-33.137592096450106</v>
      </c>
      <c r="C57" s="9">
        <v>-33.97</v>
      </c>
      <c r="D57" s="8">
        <f t="shared" si="5"/>
        <v>-33.760845762711867</v>
      </c>
      <c r="E57" s="9">
        <v>-32.269525423728815</v>
      </c>
      <c r="F57" s="9">
        <v>-33.206054237288136</v>
      </c>
      <c r="G57" s="9">
        <v>-34.315637288135598</v>
      </c>
      <c r="H57" s="7"/>
      <c r="I57" s="7"/>
      <c r="J57" s="33" t="s">
        <v>18</v>
      </c>
      <c r="K57" s="32">
        <f t="shared" si="1"/>
        <v>-33.443275801385752</v>
      </c>
      <c r="L57" s="32">
        <v>1.4913203389830514</v>
      </c>
      <c r="M57" s="32">
        <v>0.20915423728813209</v>
      </c>
      <c r="N57" s="32">
        <v>-0.83240790354989258</v>
      </c>
      <c r="O57" s="32">
        <v>0.53861045500471505</v>
      </c>
      <c r="P57" s="128">
        <f t="shared" si="2"/>
        <v>0.20915423728813209</v>
      </c>
      <c r="Q57" s="128">
        <f t="shared" si="3"/>
        <v>-0.62325366626176049</v>
      </c>
      <c r="R57" s="128">
        <f t="shared" si="4"/>
        <v>-0.2070497144868142</v>
      </c>
      <c r="S57" s="105">
        <v>0</v>
      </c>
      <c r="T57" s="99">
        <v>1</v>
      </c>
      <c r="U57" s="99">
        <v>1</v>
      </c>
      <c r="V57" s="99">
        <v>1</v>
      </c>
      <c r="W57" s="99">
        <v>0</v>
      </c>
      <c r="X57" t="s">
        <v>16</v>
      </c>
      <c r="AC57"/>
      <c r="AD57"/>
    </row>
    <row r="58" spans="1:30" s="97" customFormat="1" x14ac:dyDescent="0.3">
      <c r="A58" s="91">
        <v>328</v>
      </c>
      <c r="B58" s="92">
        <v>-30.560099672317129</v>
      </c>
      <c r="C58" s="92">
        <v>-30.750907771326485</v>
      </c>
      <c r="D58" s="93" t="str">
        <f t="shared" si="5"/>
        <v/>
      </c>
      <c r="E58" s="92">
        <v>-27.956862944162438</v>
      </c>
      <c r="F58" s="92"/>
      <c r="G58" s="92"/>
      <c r="H58" s="94"/>
      <c r="I58" s="94"/>
      <c r="J58" s="95" t="s">
        <v>18</v>
      </c>
      <c r="K58" s="96">
        <f t="shared" si="1"/>
        <v>-29.755956795935351</v>
      </c>
      <c r="L58" s="32" t="e">
        <v>#VALUE!</v>
      </c>
      <c r="M58" s="32" t="e">
        <v>#VALUE!</v>
      </c>
      <c r="N58" s="32">
        <v>-0.19080809900935591</v>
      </c>
      <c r="O58" s="32">
        <v>2.6986407776593708</v>
      </c>
      <c r="P58" s="128" t="str">
        <f t="shared" si="2"/>
        <v/>
      </c>
      <c r="Q58" s="128" t="str">
        <f t="shared" si="3"/>
        <v/>
      </c>
      <c r="R58" s="128" t="str">
        <f t="shared" si="4"/>
        <v/>
      </c>
      <c r="S58" s="108"/>
      <c r="T58" s="102"/>
      <c r="U58" s="102"/>
      <c r="V58" s="102"/>
      <c r="W58" s="102"/>
    </row>
    <row r="59" spans="1:30" s="47" customFormat="1" x14ac:dyDescent="0.3">
      <c r="A59" s="40">
        <v>330</v>
      </c>
      <c r="B59" s="44">
        <v>-32.18078775570153</v>
      </c>
      <c r="C59" s="44">
        <v>-32.883453550692266</v>
      </c>
      <c r="D59" s="45" t="str">
        <f t="shared" si="5"/>
        <v/>
      </c>
      <c r="E59" s="44">
        <v>-29.58</v>
      </c>
      <c r="F59" s="44"/>
      <c r="G59" s="44"/>
      <c r="H59" s="42"/>
      <c r="I59" s="42"/>
      <c r="J59" s="33" t="s">
        <v>18</v>
      </c>
      <c r="K59" s="46">
        <f t="shared" si="1"/>
        <v>-31.548080435464598</v>
      </c>
      <c r="L59" s="32" t="e">
        <v>#VALUE!</v>
      </c>
      <c r="M59" s="32" t="e">
        <v>#VALUE!</v>
      </c>
      <c r="N59" s="32">
        <v>-0.702665794990736</v>
      </c>
      <c r="O59" s="32">
        <v>2.9521206531969</v>
      </c>
      <c r="P59" s="128" t="str">
        <f t="shared" si="2"/>
        <v/>
      </c>
      <c r="Q59" s="128" t="str">
        <f t="shared" si="3"/>
        <v/>
      </c>
      <c r="R59" s="128" t="str">
        <f t="shared" si="4"/>
        <v/>
      </c>
      <c r="S59" s="107"/>
      <c r="T59" s="104"/>
      <c r="U59" s="104"/>
      <c r="V59" s="104"/>
      <c r="W59" s="104"/>
      <c r="Y59"/>
    </row>
    <row r="60" spans="1:30" s="47" customFormat="1" x14ac:dyDescent="0.3">
      <c r="A60" s="40">
        <v>331</v>
      </c>
      <c r="B60" s="44">
        <v>-31.157728403065128</v>
      </c>
      <c r="C60" s="44">
        <v>-29.605511148420803</v>
      </c>
      <c r="D60" s="45" t="str">
        <f t="shared" si="5"/>
        <v/>
      </c>
      <c r="E60" s="44">
        <v>-29.145868020304569</v>
      </c>
      <c r="F60" s="44"/>
      <c r="G60" s="44"/>
      <c r="H60" s="42"/>
      <c r="I60" s="42"/>
      <c r="J60" s="33" t="s">
        <v>18</v>
      </c>
      <c r="K60" s="46">
        <f t="shared" si="1"/>
        <v>-29.969702523930167</v>
      </c>
      <c r="L60" s="32" t="e">
        <v>#VALUE!</v>
      </c>
      <c r="M60" s="32" t="e">
        <v>#VALUE!</v>
      </c>
      <c r="N60" s="32">
        <v>1.5522172546443258</v>
      </c>
      <c r="O60" s="32">
        <v>1.2357517554383968</v>
      </c>
      <c r="P60" s="128" t="str">
        <f t="shared" si="2"/>
        <v/>
      </c>
      <c r="Q60" s="128" t="str">
        <f t="shared" si="3"/>
        <v/>
      </c>
      <c r="R60" s="128" t="str">
        <f t="shared" si="4"/>
        <v/>
      </c>
      <c r="S60" s="107"/>
      <c r="T60" s="104">
        <v>0</v>
      </c>
      <c r="U60" s="104">
        <v>0</v>
      </c>
      <c r="V60" s="104">
        <v>0</v>
      </c>
      <c r="W60" s="104">
        <v>0</v>
      </c>
      <c r="Y60"/>
    </row>
    <row r="61" spans="1:30" x14ac:dyDescent="0.3">
      <c r="A61" s="4">
        <v>333</v>
      </c>
      <c r="B61" s="9">
        <v>-35.587402420023473</v>
      </c>
      <c r="C61" s="9">
        <v>-36.248491155046828</v>
      </c>
      <c r="D61" s="8">
        <f t="shared" si="5"/>
        <v>-34.386334040166588</v>
      </c>
      <c r="E61" s="9">
        <v>-33.075179856115113</v>
      </c>
      <c r="F61" s="9">
        <v>-34.643809736489501</v>
      </c>
      <c r="G61" s="9">
        <v>-34.128858343843667</v>
      </c>
      <c r="H61" s="7"/>
      <c r="I61" s="7"/>
      <c r="J61" s="33" t="s">
        <v>18</v>
      </c>
      <c r="K61" s="32">
        <f t="shared" si="1"/>
        <v>-34.678345925280865</v>
      </c>
      <c r="L61" s="32">
        <v>1.3111541840514747</v>
      </c>
      <c r="M61" s="32">
        <v>1.8621571148802403</v>
      </c>
      <c r="N61" s="32">
        <v>-0.66108873502335541</v>
      </c>
      <c r="O61" s="32">
        <v>2.1871898393942999</v>
      </c>
      <c r="P61" s="128">
        <f t="shared" si="2"/>
        <v>1.8621571148802403</v>
      </c>
      <c r="Q61" s="128">
        <f t="shared" si="3"/>
        <v>1.2010683798568849</v>
      </c>
      <c r="R61" s="128">
        <f t="shared" si="4"/>
        <v>1.5316127473685626</v>
      </c>
      <c r="S61" s="105">
        <v>0</v>
      </c>
      <c r="T61" s="99">
        <v>0</v>
      </c>
      <c r="U61" s="99">
        <v>0</v>
      </c>
      <c r="V61" s="99">
        <v>0</v>
      </c>
      <c r="W61" s="99">
        <v>1</v>
      </c>
      <c r="X61" t="s">
        <v>16</v>
      </c>
      <c r="AC61"/>
      <c r="AD61"/>
    </row>
    <row r="62" spans="1:30" s="47" customFormat="1" x14ac:dyDescent="0.3">
      <c r="A62" s="40">
        <v>334</v>
      </c>
      <c r="B62" s="44">
        <v>-31.031333736537064</v>
      </c>
      <c r="C62" s="44">
        <v>-31.561186264308017</v>
      </c>
      <c r="D62" s="45" t="str">
        <f t="shared" si="5"/>
        <v/>
      </c>
      <c r="E62" s="44">
        <v>-29.525899280575544</v>
      </c>
      <c r="F62" s="44"/>
      <c r="G62" s="44"/>
      <c r="H62" s="42"/>
      <c r="I62" s="42"/>
      <c r="J62" s="33" t="s">
        <v>18</v>
      </c>
      <c r="K62" s="46">
        <f t="shared" si="1"/>
        <v>-30.706139760473544</v>
      </c>
      <c r="L62" s="32" t="e">
        <v>#VALUE!</v>
      </c>
      <c r="M62" s="32" t="e">
        <v>#VALUE!</v>
      </c>
      <c r="N62" s="32">
        <v>-0.52985252777095226</v>
      </c>
      <c r="O62" s="32">
        <v>1.7703607198469982</v>
      </c>
      <c r="P62" s="128" t="str">
        <f t="shared" si="2"/>
        <v/>
      </c>
      <c r="Q62" s="128" t="str">
        <f t="shared" si="3"/>
        <v/>
      </c>
      <c r="R62" s="128" t="str">
        <f t="shared" si="4"/>
        <v/>
      </c>
      <c r="S62" s="107"/>
      <c r="T62" s="104"/>
      <c r="U62" s="104"/>
      <c r="V62" s="104"/>
      <c r="W62" s="104"/>
      <c r="Y62"/>
    </row>
    <row r="63" spans="1:30" s="47" customFormat="1" x14ac:dyDescent="0.3">
      <c r="A63" s="40">
        <v>335</v>
      </c>
      <c r="B63" s="44">
        <v>-32.242947606211473</v>
      </c>
      <c r="C63" s="44">
        <v>-32.174999999999997</v>
      </c>
      <c r="D63" s="45" t="str">
        <f t="shared" si="5"/>
        <v/>
      </c>
      <c r="E63" s="44">
        <v>-27.941582733812954</v>
      </c>
      <c r="F63" s="44"/>
      <c r="G63" s="44"/>
      <c r="H63" s="42"/>
      <c r="I63" s="42"/>
      <c r="J63" s="33" t="s">
        <v>18</v>
      </c>
      <c r="K63" s="46">
        <f t="shared" si="1"/>
        <v>-30.786510113341475</v>
      </c>
      <c r="L63" s="32" t="e">
        <v>#VALUE!</v>
      </c>
      <c r="M63" s="32" t="e">
        <v>#VALUE!</v>
      </c>
      <c r="N63" s="32">
        <v>6.7947606211475886E-2</v>
      </c>
      <c r="O63" s="32">
        <v>4.2673910692927812</v>
      </c>
      <c r="P63" s="128" t="str">
        <f t="shared" si="2"/>
        <v/>
      </c>
      <c r="Q63" s="128" t="str">
        <f t="shared" si="3"/>
        <v/>
      </c>
      <c r="R63" s="128" t="str">
        <f t="shared" si="4"/>
        <v/>
      </c>
      <c r="S63" s="107"/>
      <c r="T63" s="104"/>
      <c r="U63" s="104"/>
      <c r="V63" s="104"/>
      <c r="W63" s="104"/>
      <c r="Y63"/>
    </row>
    <row r="64" spans="1:30" s="47" customFormat="1" x14ac:dyDescent="0.3">
      <c r="A64" s="40">
        <v>337</v>
      </c>
      <c r="B64" s="44">
        <v>-30.931972979008485</v>
      </c>
      <c r="C64" s="44">
        <v>-31.623683662851199</v>
      </c>
      <c r="D64" s="45" t="str">
        <f t="shared" si="5"/>
        <v/>
      </c>
      <c r="E64" s="44">
        <v>-29.731654676258998</v>
      </c>
      <c r="F64" s="44"/>
      <c r="G64" s="44"/>
      <c r="H64" s="42"/>
      <c r="I64" s="42"/>
      <c r="J64" s="33" t="s">
        <v>18</v>
      </c>
      <c r="K64" s="46">
        <f t="shared" si="1"/>
        <v>-30.76243710603956</v>
      </c>
      <c r="L64" s="32" t="e">
        <v>#VALUE!</v>
      </c>
      <c r="M64" s="32" t="e">
        <v>#VALUE!</v>
      </c>
      <c r="N64" s="32">
        <v>-0.6917106838427145</v>
      </c>
      <c r="O64" s="32">
        <v>1.5461736446708443</v>
      </c>
      <c r="P64" s="128" t="str">
        <f t="shared" si="2"/>
        <v/>
      </c>
      <c r="Q64" s="128" t="str">
        <f t="shared" si="3"/>
        <v/>
      </c>
      <c r="R64" s="128" t="str">
        <f t="shared" si="4"/>
        <v/>
      </c>
      <c r="S64" s="107"/>
      <c r="T64" s="104"/>
      <c r="U64" s="104"/>
      <c r="V64" s="104"/>
      <c r="W64" s="104"/>
      <c r="Y64"/>
    </row>
    <row r="65" spans="1:30" x14ac:dyDescent="0.3">
      <c r="A65" s="10">
        <v>342</v>
      </c>
      <c r="B65" s="9">
        <v>-32.065074173971681</v>
      </c>
      <c r="C65" s="9">
        <v>-32.961972872996306</v>
      </c>
      <c r="D65" s="12">
        <f t="shared" si="5"/>
        <v>-33.149473436870153</v>
      </c>
      <c r="E65" s="9">
        <v>-34.537196901661424</v>
      </c>
      <c r="F65" s="9">
        <v>-33.392549319083685</v>
      </c>
      <c r="G65" s="9">
        <v>-32.906397554656628</v>
      </c>
      <c r="H65" s="5"/>
      <c r="I65" s="5"/>
      <c r="J65" s="33" t="s">
        <v>18</v>
      </c>
      <c r="K65" s="32">
        <f t="shared" si="1"/>
        <v>-33.168777376539978</v>
      </c>
      <c r="L65" s="32">
        <v>-1.3877234647912715</v>
      </c>
      <c r="M65" s="32">
        <v>-0.18750056387384717</v>
      </c>
      <c r="N65" s="32">
        <v>-0.89689869902462505</v>
      </c>
      <c r="O65" s="32">
        <v>-1.3298116457817883</v>
      </c>
      <c r="P65" s="128">
        <f t="shared" si="2"/>
        <v>-1.5752240286651187</v>
      </c>
      <c r="Q65" s="128">
        <f t="shared" si="3"/>
        <v>-2.4721227276897437</v>
      </c>
      <c r="R65" s="128">
        <f t="shared" si="4"/>
        <v>-2.0236733781774277</v>
      </c>
      <c r="S65" s="105">
        <v>0</v>
      </c>
      <c r="T65" s="99">
        <v>1</v>
      </c>
      <c r="U65" s="99">
        <v>1</v>
      </c>
      <c r="V65" s="99">
        <v>1</v>
      </c>
      <c r="W65" s="99">
        <v>0</v>
      </c>
      <c r="X65" t="s">
        <v>16</v>
      </c>
      <c r="AC65"/>
      <c r="AD65"/>
    </row>
    <row r="66" spans="1:30" x14ac:dyDescent="0.3">
      <c r="A66" s="10">
        <v>343</v>
      </c>
      <c r="B66" s="9">
        <v>-32.097539655754304</v>
      </c>
      <c r="C66" s="9">
        <v>-31.764597140263277</v>
      </c>
      <c r="D66" s="12">
        <f t="shared" ref="D66:D97" si="6">IF(AND(ISBLANK(F66),ISBLANK(G66)),"",IF(ISBLANK(F66),G66,IF(ISBLANK(G66),F66,(G66+F66)/2)))</f>
        <v>-31.22757828975832</v>
      </c>
      <c r="E66" s="9">
        <v>-30.147989447687468</v>
      </c>
      <c r="F66" s="9">
        <v>-31.235250864438608</v>
      </c>
      <c r="G66" s="9">
        <v>-31.219905715078028</v>
      </c>
      <c r="H66" s="5"/>
      <c r="I66" s="5"/>
      <c r="J66" s="33" t="s">
        <v>18</v>
      </c>
      <c r="K66" s="32">
        <f t="shared" ref="K66:K129" si="7">AVERAGE(B66:G66)</f>
        <v>-31.282143518830001</v>
      </c>
      <c r="L66" s="32">
        <v>1.0795888420708515</v>
      </c>
      <c r="M66" s="32">
        <v>0.5370188505049569</v>
      </c>
      <c r="N66" s="32">
        <v>0.33294251549102682</v>
      </c>
      <c r="O66" s="32">
        <v>1.2432845292858943</v>
      </c>
      <c r="P66" s="128">
        <f t="shared" si="2"/>
        <v>0.86996136599598373</v>
      </c>
      <c r="Q66" s="128">
        <f t="shared" si="3"/>
        <v>0.5370188505049569</v>
      </c>
      <c r="R66" s="128">
        <f t="shared" si="4"/>
        <v>0.70349010825047031</v>
      </c>
      <c r="S66" s="105">
        <v>0</v>
      </c>
      <c r="T66" s="99">
        <v>0</v>
      </c>
      <c r="U66" s="99">
        <v>0</v>
      </c>
      <c r="V66" s="99">
        <v>0</v>
      </c>
      <c r="W66" s="99">
        <v>0</v>
      </c>
      <c r="X66" t="s">
        <v>16</v>
      </c>
      <c r="AC66"/>
      <c r="AD66"/>
    </row>
    <row r="67" spans="1:30" x14ac:dyDescent="0.3">
      <c r="A67" s="10">
        <v>344</v>
      </c>
      <c r="B67" s="9">
        <v>-32.349307989008494</v>
      </c>
      <c r="C67" s="9">
        <v>-32.692808496291299</v>
      </c>
      <c r="D67" s="12">
        <f t="shared" si="6"/>
        <v>-32.638001268045855</v>
      </c>
      <c r="E67" s="9">
        <v>-33.386115906288538</v>
      </c>
      <c r="F67" s="9">
        <v>-32.815244098826554</v>
      </c>
      <c r="G67" s="9">
        <v>-32.460758437265149</v>
      </c>
      <c r="H67" s="5"/>
      <c r="I67" s="5"/>
      <c r="J67" s="33" t="s">
        <v>18</v>
      </c>
      <c r="K67" s="32">
        <f t="shared" si="7"/>
        <v>-32.723706032620981</v>
      </c>
      <c r="L67" s="32">
        <v>-0.74811463824268287</v>
      </c>
      <c r="M67" s="32">
        <v>5.4807228245444151E-2</v>
      </c>
      <c r="N67" s="32">
        <v>-0.34350050728280479</v>
      </c>
      <c r="O67" s="32">
        <v>-0.49100034451729613</v>
      </c>
      <c r="P67" s="128">
        <f t="shared" ref="P67:P130" si="8">IF(OR(E67="", D67="", B67="", C67=""), "", MIN(E67,D67)-MIN(B67,C67))</f>
        <v>-0.69330740999723872</v>
      </c>
      <c r="Q67" s="128">
        <f t="shared" ref="Q67:Q130" si="9">IF(OR(E67="", D67="", B67="", C67=""), "", MIN(E67,D67)-MAX(B67,C67))</f>
        <v>-1.0368079172800435</v>
      </c>
      <c r="R67" s="128">
        <f t="shared" ref="R67:R130" si="10">IF(OR(E67="", D67="", B67="", C67=""), "", MIN(E67,D67)-AVERAGE(B67,C67))</f>
        <v>-0.86505766363863756</v>
      </c>
      <c r="S67" s="105">
        <v>0</v>
      </c>
      <c r="T67" s="99">
        <v>1</v>
      </c>
      <c r="U67" s="99">
        <v>1</v>
      </c>
      <c r="V67" s="99">
        <v>1</v>
      </c>
      <c r="W67" s="99">
        <v>0</v>
      </c>
      <c r="X67" t="s">
        <v>16</v>
      </c>
      <c r="AC67"/>
      <c r="AD67"/>
    </row>
    <row r="68" spans="1:30" x14ac:dyDescent="0.3">
      <c r="A68" s="10">
        <v>346</v>
      </c>
      <c r="B68" s="9">
        <v>-33.482538772757927</v>
      </c>
      <c r="C68" s="9">
        <v>-33.124330458465728</v>
      </c>
      <c r="D68" s="12">
        <f t="shared" si="6"/>
        <v>-33.201449395048506</v>
      </c>
      <c r="E68" s="9">
        <v>-33.011006197183107</v>
      </c>
      <c r="F68" s="9">
        <v>-33.514087260190458</v>
      </c>
      <c r="G68" s="9">
        <v>-32.888811529906555</v>
      </c>
      <c r="H68" s="5"/>
      <c r="I68" s="5"/>
      <c r="J68" s="33" t="s">
        <v>18</v>
      </c>
      <c r="K68" s="32">
        <f t="shared" si="7"/>
        <v>-33.203703935592038</v>
      </c>
      <c r="L68" s="32">
        <v>0.19044319786539887</v>
      </c>
      <c r="M68" s="32">
        <v>-7.7118936582778019E-2</v>
      </c>
      <c r="N68" s="32">
        <v>0.35820831429219879</v>
      </c>
      <c r="O68" s="32">
        <v>0.19720681949602437</v>
      </c>
      <c r="P68" s="128">
        <f t="shared" si="8"/>
        <v>0.28108937770942077</v>
      </c>
      <c r="Q68" s="128">
        <f t="shared" si="9"/>
        <v>-7.7118936582778019E-2</v>
      </c>
      <c r="R68" s="128">
        <f t="shared" si="10"/>
        <v>0.10198522056332138</v>
      </c>
      <c r="S68" s="105">
        <v>0</v>
      </c>
      <c r="T68" s="99">
        <v>0</v>
      </c>
      <c r="U68" s="99">
        <v>0</v>
      </c>
      <c r="V68" s="99">
        <v>0</v>
      </c>
      <c r="W68" s="99">
        <v>0</v>
      </c>
      <c r="X68" t="s">
        <v>16</v>
      </c>
      <c r="AC68"/>
      <c r="AD68"/>
    </row>
    <row r="69" spans="1:30" x14ac:dyDescent="0.3">
      <c r="A69" s="10">
        <v>348</v>
      </c>
      <c r="B69" s="9">
        <v>-31.457589345920432</v>
      </c>
      <c r="C69" s="9">
        <v>-30.561948529411765</v>
      </c>
      <c r="D69" s="12">
        <f t="shared" si="6"/>
        <v>-30.770567200986441</v>
      </c>
      <c r="E69" s="9">
        <v>-31.11712746253578</v>
      </c>
      <c r="F69" s="9">
        <v>-30.164648581997536</v>
      </c>
      <c r="G69" s="9">
        <v>-31.376485819975343</v>
      </c>
      <c r="H69" s="5"/>
      <c r="I69" s="5"/>
      <c r="J69" s="33" t="s">
        <v>18</v>
      </c>
      <c r="K69" s="32">
        <f t="shared" si="7"/>
        <v>-30.908061156804546</v>
      </c>
      <c r="L69" s="32">
        <v>-0.34656026154933883</v>
      </c>
      <c r="M69" s="32">
        <v>-0.20861867157467628</v>
      </c>
      <c r="N69" s="32">
        <v>0.89564081650866711</v>
      </c>
      <c r="O69" s="32">
        <v>6.592160590498608E-2</v>
      </c>
      <c r="P69" s="128">
        <f t="shared" si="8"/>
        <v>0.340461883384652</v>
      </c>
      <c r="Q69" s="128">
        <f t="shared" si="9"/>
        <v>-0.55517893312401512</v>
      </c>
      <c r="R69" s="128">
        <f t="shared" si="10"/>
        <v>-0.10735852486968156</v>
      </c>
      <c r="S69" s="105" t="s">
        <v>20</v>
      </c>
      <c r="T69" s="99">
        <v>0</v>
      </c>
      <c r="U69" s="99">
        <v>0</v>
      </c>
      <c r="V69" s="99">
        <v>0</v>
      </c>
      <c r="W69" s="99">
        <v>0</v>
      </c>
      <c r="X69" t="s">
        <v>16</v>
      </c>
      <c r="AC69"/>
      <c r="AD69"/>
    </row>
    <row r="70" spans="1:30" x14ac:dyDescent="0.3">
      <c r="A70" s="10">
        <v>350</v>
      </c>
      <c r="B70" s="9">
        <v>-32.035384615384622</v>
      </c>
      <c r="C70" s="9">
        <v>-31.314705882352939</v>
      </c>
      <c r="D70" s="12">
        <f t="shared" si="6"/>
        <v>-31.358269108392847</v>
      </c>
      <c r="E70" s="9">
        <v>-31.329496548240446</v>
      </c>
      <c r="F70" s="9">
        <v>-31.615842264219555</v>
      </c>
      <c r="G70" s="9">
        <v>-31.100695952566138</v>
      </c>
      <c r="H70" s="5"/>
      <c r="I70" s="5"/>
      <c r="J70" s="33" t="s">
        <v>18</v>
      </c>
      <c r="K70" s="32">
        <f t="shared" si="7"/>
        <v>-31.459065728526088</v>
      </c>
      <c r="L70" s="32">
        <v>2.8772560152400928E-2</v>
      </c>
      <c r="M70" s="32">
        <v>-4.3563226039907477E-2</v>
      </c>
      <c r="N70" s="32">
        <v>0.72067873303168284</v>
      </c>
      <c r="O70" s="32">
        <v>0.33116242055213618</v>
      </c>
      <c r="P70" s="128">
        <f t="shared" si="8"/>
        <v>0.67711550699177536</v>
      </c>
      <c r="Q70" s="128">
        <f t="shared" si="9"/>
        <v>-4.3563226039907477E-2</v>
      </c>
      <c r="R70" s="128">
        <f t="shared" si="10"/>
        <v>0.31677614047593394</v>
      </c>
      <c r="S70" s="105" t="s">
        <v>20</v>
      </c>
      <c r="T70" s="99">
        <v>0</v>
      </c>
      <c r="U70" s="99">
        <v>0</v>
      </c>
      <c r="V70" s="99">
        <v>0</v>
      </c>
      <c r="W70" s="99">
        <v>0</v>
      </c>
      <c r="X70" t="s">
        <v>16</v>
      </c>
      <c r="AC70"/>
      <c r="AD70"/>
    </row>
    <row r="71" spans="1:30" x14ac:dyDescent="0.3">
      <c r="A71" s="10">
        <v>356</v>
      </c>
      <c r="B71" s="9">
        <v>-33.094285714285718</v>
      </c>
      <c r="C71" s="9">
        <v>-32.89846153846154</v>
      </c>
      <c r="D71" s="12">
        <f t="shared" si="6"/>
        <v>-32.945024788732397</v>
      </c>
      <c r="E71" s="9">
        <v>-33.938602458326322</v>
      </c>
      <c r="F71" s="9">
        <v>-33.183572957746478</v>
      </c>
      <c r="G71" s="9">
        <v>-32.706476619718309</v>
      </c>
      <c r="H71" s="5"/>
      <c r="I71" s="5"/>
      <c r="J71" s="33" t="s">
        <v>18</v>
      </c>
      <c r="K71" s="32">
        <f t="shared" si="7"/>
        <v>-33.127737346211788</v>
      </c>
      <c r="L71" s="32">
        <v>-0.99357766959392535</v>
      </c>
      <c r="M71" s="32">
        <v>-4.6563250270857282E-2</v>
      </c>
      <c r="N71" s="32">
        <v>0.19582417582417833</v>
      </c>
      <c r="O71" s="32">
        <v>-0.44543999715573079</v>
      </c>
      <c r="P71" s="128">
        <f t="shared" si="8"/>
        <v>-0.84431674404060431</v>
      </c>
      <c r="Q71" s="128">
        <f t="shared" si="9"/>
        <v>-1.0401409198647826</v>
      </c>
      <c r="R71" s="128">
        <f t="shared" si="10"/>
        <v>-0.94222883195269702</v>
      </c>
      <c r="S71" s="105">
        <v>0</v>
      </c>
      <c r="T71" s="99">
        <v>0</v>
      </c>
      <c r="U71" s="99">
        <v>0</v>
      </c>
      <c r="V71" s="99">
        <v>0</v>
      </c>
      <c r="W71" s="99">
        <v>0</v>
      </c>
      <c r="X71" t="s">
        <v>16</v>
      </c>
      <c r="AC71"/>
      <c r="AD71"/>
    </row>
    <row r="72" spans="1:30" x14ac:dyDescent="0.3">
      <c r="A72" s="10">
        <v>357</v>
      </c>
      <c r="B72" s="9">
        <v>-34.507273048125647</v>
      </c>
      <c r="C72" s="9">
        <v>-34.859504383007419</v>
      </c>
      <c r="D72" s="12">
        <f t="shared" si="6"/>
        <v>-34.24509037739179</v>
      </c>
      <c r="E72" s="9">
        <v>-33.537595561035765</v>
      </c>
      <c r="F72" s="9">
        <v>-34.003075604406682</v>
      </c>
      <c r="G72" s="9">
        <v>-34.487105150376891</v>
      </c>
      <c r="H72" s="5"/>
      <c r="I72" s="5"/>
      <c r="J72" s="33" t="s">
        <v>18</v>
      </c>
      <c r="K72" s="32">
        <f t="shared" si="7"/>
        <v>-34.273274020724038</v>
      </c>
      <c r="L72" s="32">
        <v>0.70749481635602507</v>
      </c>
      <c r="M72" s="32">
        <v>0.61441400561562887</v>
      </c>
      <c r="N72" s="32">
        <v>-0.35223133488177183</v>
      </c>
      <c r="O72" s="32">
        <v>0.79204574635275549</v>
      </c>
      <c r="P72" s="128">
        <f t="shared" si="8"/>
        <v>0.61441400561562887</v>
      </c>
      <c r="Q72" s="128">
        <f t="shared" si="9"/>
        <v>0.26218267073385704</v>
      </c>
      <c r="R72" s="128">
        <f t="shared" si="10"/>
        <v>0.4382983381747465</v>
      </c>
      <c r="S72" s="105">
        <v>0</v>
      </c>
      <c r="T72" s="99">
        <v>1</v>
      </c>
      <c r="U72" s="99">
        <v>1</v>
      </c>
      <c r="V72" s="99">
        <v>1</v>
      </c>
      <c r="W72" s="99">
        <v>0</v>
      </c>
      <c r="X72" t="s">
        <v>16</v>
      </c>
      <c r="AC72"/>
      <c r="AD72"/>
    </row>
    <row r="73" spans="1:30" x14ac:dyDescent="0.3">
      <c r="A73" s="10">
        <v>358</v>
      </c>
      <c r="B73" s="9">
        <v>-35.375866486850974</v>
      </c>
      <c r="C73" s="9">
        <v>-34.872559010440305</v>
      </c>
      <c r="D73" s="12">
        <f t="shared" si="6"/>
        <v>-34.202802259795448</v>
      </c>
      <c r="E73" s="9">
        <v>-35.275473731477319</v>
      </c>
      <c r="F73" s="9">
        <v>-35.063696009301701</v>
      </c>
      <c r="G73" s="9">
        <v>-33.341908510289201</v>
      </c>
      <c r="H73" s="5"/>
      <c r="I73" s="5"/>
      <c r="J73" s="33" t="s">
        <v>18</v>
      </c>
      <c r="K73" s="32">
        <f t="shared" si="7"/>
        <v>-34.688717668025824</v>
      </c>
      <c r="L73" s="32">
        <v>-1.0726714716818719</v>
      </c>
      <c r="M73" s="32">
        <v>0.66975675064485785</v>
      </c>
      <c r="N73" s="32">
        <v>0.50330747641066864</v>
      </c>
      <c r="O73" s="32">
        <v>0.3850747530092562</v>
      </c>
      <c r="P73" s="128">
        <f t="shared" si="8"/>
        <v>0.10039275537365455</v>
      </c>
      <c r="Q73" s="128">
        <f t="shared" si="9"/>
        <v>-0.40291472103701409</v>
      </c>
      <c r="R73" s="128">
        <f t="shared" si="10"/>
        <v>-0.15126098283167977</v>
      </c>
      <c r="S73" s="105">
        <v>0</v>
      </c>
      <c r="T73" s="99">
        <v>0</v>
      </c>
      <c r="U73" s="99">
        <v>0</v>
      </c>
      <c r="V73" s="99">
        <v>0</v>
      </c>
      <c r="W73" s="99">
        <v>0</v>
      </c>
      <c r="X73" t="s">
        <v>16</v>
      </c>
      <c r="AC73"/>
      <c r="AD73"/>
    </row>
    <row r="74" spans="1:30" x14ac:dyDescent="0.3">
      <c r="A74" s="10">
        <v>359</v>
      </c>
      <c r="B74" s="9">
        <v>-31.771456507080241</v>
      </c>
      <c r="C74" s="9">
        <v>-32.265166461159062</v>
      </c>
      <c r="D74" s="12">
        <f t="shared" si="6"/>
        <v>-32.418864455914587</v>
      </c>
      <c r="E74" s="9">
        <v>-34.001187696452618</v>
      </c>
      <c r="F74" s="9">
        <v>-33.312794820254339</v>
      </c>
      <c r="G74" s="9">
        <v>-31.524934091574835</v>
      </c>
      <c r="H74" s="5"/>
      <c r="I74" s="5"/>
      <c r="J74" s="33" t="s">
        <v>18</v>
      </c>
      <c r="K74" s="32">
        <f t="shared" si="7"/>
        <v>-32.549067338739285</v>
      </c>
      <c r="L74" s="32">
        <v>-1.582323240538031</v>
      </c>
      <c r="M74" s="32">
        <v>-0.15369799475552526</v>
      </c>
      <c r="N74" s="32">
        <v>-0.49370995407882035</v>
      </c>
      <c r="O74" s="32">
        <v>-1.1917145920639527</v>
      </c>
      <c r="P74" s="128">
        <f t="shared" si="8"/>
        <v>-1.7360212352935562</v>
      </c>
      <c r="Q74" s="128">
        <f t="shared" si="9"/>
        <v>-2.2297311893723766</v>
      </c>
      <c r="R74" s="128">
        <f t="shared" si="10"/>
        <v>-1.9828762123329682</v>
      </c>
      <c r="S74" s="105">
        <v>0</v>
      </c>
      <c r="T74" s="99">
        <v>1</v>
      </c>
      <c r="U74" s="99">
        <v>1</v>
      </c>
      <c r="V74" s="99">
        <v>1</v>
      </c>
      <c r="W74" s="99">
        <v>0</v>
      </c>
      <c r="X74" t="s">
        <v>16</v>
      </c>
      <c r="AC74"/>
      <c r="AD74"/>
    </row>
    <row r="75" spans="1:30" x14ac:dyDescent="0.3">
      <c r="A75" s="10">
        <v>360</v>
      </c>
      <c r="B75" s="9">
        <v>-34.293832599118943</v>
      </c>
      <c r="C75" s="9">
        <v>-33.442500000000003</v>
      </c>
      <c r="D75" s="12">
        <f t="shared" si="6"/>
        <v>-33.244137931034487</v>
      </c>
      <c r="E75" s="9">
        <v>-34.089199731002019</v>
      </c>
      <c r="F75" s="9">
        <v>-33.718189655172417</v>
      </c>
      <c r="G75" s="9">
        <v>-32.770086206896558</v>
      </c>
      <c r="H75" s="5"/>
      <c r="I75" s="5"/>
      <c r="J75" s="33" t="s">
        <v>18</v>
      </c>
      <c r="K75" s="32">
        <f t="shared" si="7"/>
        <v>-33.592991020537404</v>
      </c>
      <c r="L75" s="32">
        <v>-0.84506179996753161</v>
      </c>
      <c r="M75" s="32">
        <v>0.19836206896551545</v>
      </c>
      <c r="N75" s="32">
        <v>0.85133259911894044</v>
      </c>
      <c r="O75" s="32">
        <v>0.20149746854121986</v>
      </c>
      <c r="P75" s="128">
        <f t="shared" si="8"/>
        <v>0.20463286811692427</v>
      </c>
      <c r="Q75" s="128">
        <f t="shared" si="9"/>
        <v>-0.64669973100201616</v>
      </c>
      <c r="R75" s="128">
        <f t="shared" si="10"/>
        <v>-0.22103343144254239</v>
      </c>
      <c r="S75" s="105">
        <v>0</v>
      </c>
      <c r="T75" s="99">
        <v>0</v>
      </c>
      <c r="U75" s="99">
        <v>0</v>
      </c>
      <c r="V75" s="99">
        <v>0</v>
      </c>
      <c r="W75" s="99">
        <v>0</v>
      </c>
      <c r="X75" t="s">
        <v>16</v>
      </c>
      <c r="AC75"/>
      <c r="AD75"/>
    </row>
    <row r="76" spans="1:30" s="47" customFormat="1" x14ac:dyDescent="0.3">
      <c r="A76" s="49">
        <v>361</v>
      </c>
      <c r="B76" s="44">
        <v>-32.207977941176473</v>
      </c>
      <c r="C76" s="44">
        <v>-31.933846153846158</v>
      </c>
      <c r="D76" s="50" t="str">
        <f t="shared" si="6"/>
        <v/>
      </c>
      <c r="E76" s="44">
        <v>-32.866644216198011</v>
      </c>
      <c r="F76" s="44"/>
      <c r="G76" s="44"/>
      <c r="H76" s="41"/>
      <c r="I76" s="41"/>
      <c r="J76" s="33" t="s">
        <v>18</v>
      </c>
      <c r="K76" s="46">
        <f t="shared" si="7"/>
        <v>-32.336156103740215</v>
      </c>
      <c r="L76" s="32" t="e">
        <v>#VALUE!</v>
      </c>
      <c r="M76" s="32" t="e">
        <v>#VALUE!</v>
      </c>
      <c r="N76" s="32">
        <v>0.27413178733031529</v>
      </c>
      <c r="O76" s="32">
        <v>-0.79573216868669761</v>
      </c>
      <c r="P76" s="128" t="str">
        <f t="shared" si="8"/>
        <v/>
      </c>
      <c r="Q76" s="128" t="str">
        <f t="shared" si="9"/>
        <v/>
      </c>
      <c r="R76" s="128" t="str">
        <f t="shared" si="10"/>
        <v/>
      </c>
      <c r="S76" s="103"/>
      <c r="T76" s="104">
        <v>0</v>
      </c>
      <c r="U76" s="104">
        <v>0</v>
      </c>
      <c r="V76" s="104">
        <v>0</v>
      </c>
      <c r="W76" s="104">
        <v>0</v>
      </c>
      <c r="Y76"/>
    </row>
    <row r="77" spans="1:30" s="47" customFormat="1" x14ac:dyDescent="0.3">
      <c r="A77" s="49">
        <v>364</v>
      </c>
      <c r="B77" s="44">
        <v>-32.872029581850541</v>
      </c>
      <c r="C77" s="44">
        <v>-32.471273354092524</v>
      </c>
      <c r="D77" s="50" t="str">
        <f t="shared" si="6"/>
        <v/>
      </c>
      <c r="E77" s="44">
        <v>-29.898066914498145</v>
      </c>
      <c r="F77" s="44"/>
      <c r="G77" s="44"/>
      <c r="H77" s="41"/>
      <c r="I77" s="41"/>
      <c r="J77" s="33" t="s">
        <v>18</v>
      </c>
      <c r="K77" s="46">
        <f t="shared" si="7"/>
        <v>-31.747123283480402</v>
      </c>
      <c r="L77" s="32" t="e">
        <v>#VALUE!</v>
      </c>
      <c r="M77" s="32" t="e">
        <v>#VALUE!</v>
      </c>
      <c r="N77" s="32">
        <v>0.40075622775801634</v>
      </c>
      <c r="O77" s="32">
        <v>2.7735845534733841</v>
      </c>
      <c r="P77" s="128" t="str">
        <f t="shared" si="8"/>
        <v/>
      </c>
      <c r="Q77" s="128" t="str">
        <f t="shared" si="9"/>
        <v/>
      </c>
      <c r="R77" s="128" t="str">
        <f t="shared" si="10"/>
        <v/>
      </c>
      <c r="S77" s="103"/>
      <c r="T77" s="104">
        <v>0</v>
      </c>
      <c r="U77" s="104">
        <v>0</v>
      </c>
      <c r="V77" s="104">
        <v>0</v>
      </c>
      <c r="W77" s="104"/>
      <c r="Y77"/>
    </row>
    <row r="78" spans="1:30" x14ac:dyDescent="0.3">
      <c r="A78" s="10">
        <v>369</v>
      </c>
      <c r="B78" s="9">
        <v>-29.188795140060751</v>
      </c>
      <c r="C78" s="9">
        <v>-27.313820452244347</v>
      </c>
      <c r="D78" s="12">
        <f t="shared" si="6"/>
        <v>-25.960798177522783</v>
      </c>
      <c r="E78" s="9">
        <v>-24.3138609517381</v>
      </c>
      <c r="F78" s="9">
        <v>-25.86451569355383</v>
      </c>
      <c r="G78" s="9">
        <v>-26.057080661491732</v>
      </c>
      <c r="H78" s="5"/>
      <c r="I78" s="5"/>
      <c r="J78" s="33" t="s">
        <v>11</v>
      </c>
      <c r="K78" s="32">
        <f t="shared" si="7"/>
        <v>-26.449811846101927</v>
      </c>
      <c r="L78" s="32">
        <v>1.6469372257846828</v>
      </c>
      <c r="M78" s="32">
        <v>1.3530222747215639</v>
      </c>
      <c r="N78" s="32">
        <v>1.8749746878164046</v>
      </c>
      <c r="O78" s="32">
        <v>3.1139782315221076</v>
      </c>
      <c r="P78" s="128">
        <f t="shared" si="8"/>
        <v>3.2279969625379685</v>
      </c>
      <c r="Q78" s="128">
        <f t="shared" si="9"/>
        <v>1.3530222747215639</v>
      </c>
      <c r="R78" s="128">
        <f t="shared" si="10"/>
        <v>2.2905096186297662</v>
      </c>
      <c r="S78" s="105">
        <v>0</v>
      </c>
      <c r="T78" s="99">
        <v>0</v>
      </c>
      <c r="U78" s="99">
        <v>0</v>
      </c>
      <c r="V78" s="99">
        <v>0</v>
      </c>
      <c r="W78" s="99">
        <v>1</v>
      </c>
      <c r="X78" t="s">
        <v>16</v>
      </c>
      <c r="AC78"/>
      <c r="AD78"/>
    </row>
    <row r="79" spans="1:30" x14ac:dyDescent="0.3">
      <c r="A79" s="10">
        <v>370</v>
      </c>
      <c r="B79" s="9">
        <v>-33.064460966542754</v>
      </c>
      <c r="C79" s="9">
        <v>-30.938380782918152</v>
      </c>
      <c r="D79" s="12">
        <f t="shared" si="6"/>
        <v>-31.711235709482182</v>
      </c>
      <c r="E79" s="9">
        <v>-31.317876106194689</v>
      </c>
      <c r="F79" s="9">
        <v>-31.797064559515807</v>
      </c>
      <c r="G79" s="9">
        <v>-31.625406859448557</v>
      </c>
      <c r="H79" s="5"/>
      <c r="I79" s="5"/>
      <c r="J79" s="33" t="s">
        <v>18</v>
      </c>
      <c r="K79" s="32">
        <f t="shared" si="7"/>
        <v>-31.742404164017028</v>
      </c>
      <c r="L79" s="32">
        <v>0.39335960328749309</v>
      </c>
      <c r="M79" s="32">
        <v>-0.77285492656402965</v>
      </c>
      <c r="N79" s="32">
        <v>2.1260801836246017</v>
      </c>
      <c r="O79" s="32">
        <v>0.4868649668920213</v>
      </c>
      <c r="P79" s="128">
        <f t="shared" si="8"/>
        <v>1.3532252570605721</v>
      </c>
      <c r="Q79" s="128">
        <f t="shared" si="9"/>
        <v>-0.77285492656402965</v>
      </c>
      <c r="R79" s="128">
        <f t="shared" si="10"/>
        <v>0.29018516524827476</v>
      </c>
      <c r="S79" s="105" t="s">
        <v>20</v>
      </c>
      <c r="T79" s="99">
        <v>0</v>
      </c>
      <c r="U79" s="99">
        <v>0</v>
      </c>
      <c r="V79" s="99">
        <v>0</v>
      </c>
      <c r="W79" s="99">
        <v>0</v>
      </c>
      <c r="X79" t="s">
        <v>16</v>
      </c>
      <c r="AC79"/>
      <c r="AD79"/>
    </row>
    <row r="80" spans="1:30" s="47" customFormat="1" x14ac:dyDescent="0.3">
      <c r="A80" s="49">
        <v>371</v>
      </c>
      <c r="B80" s="44">
        <v>-31.572602230483273</v>
      </c>
      <c r="C80" s="44">
        <v>-30.395353159851304</v>
      </c>
      <c r="D80" s="50" t="str">
        <f t="shared" si="6"/>
        <v/>
      </c>
      <c r="E80" s="44">
        <v>-29.264678481012659</v>
      </c>
      <c r="F80" s="44"/>
      <c r="G80" s="44"/>
      <c r="H80" s="41"/>
      <c r="I80" s="41"/>
      <c r="J80" s="33" t="s">
        <v>18</v>
      </c>
      <c r="K80" s="46">
        <f t="shared" si="7"/>
        <v>-30.410877957115748</v>
      </c>
      <c r="L80" s="32" t="e">
        <v>#VALUE!</v>
      </c>
      <c r="M80" s="32" t="e">
        <v>#VALUE!</v>
      </c>
      <c r="N80" s="32">
        <v>1.1772490706319694</v>
      </c>
      <c r="O80" s="32">
        <v>1.7192992141546313</v>
      </c>
      <c r="P80" s="128" t="str">
        <f t="shared" si="8"/>
        <v/>
      </c>
      <c r="Q80" s="128" t="str">
        <f t="shared" si="9"/>
        <v/>
      </c>
      <c r="R80" s="128" t="str">
        <f t="shared" si="10"/>
        <v/>
      </c>
      <c r="S80" s="109"/>
      <c r="T80" s="104">
        <v>0</v>
      </c>
      <c r="U80" s="104">
        <v>0</v>
      </c>
      <c r="V80" s="104">
        <v>0</v>
      </c>
      <c r="W80" s="104"/>
      <c r="Y80"/>
    </row>
    <row r="81" spans="1:30" s="47" customFormat="1" x14ac:dyDescent="0.3">
      <c r="A81" s="49">
        <v>372</v>
      </c>
      <c r="B81" s="44">
        <v>-31.86012010676157</v>
      </c>
      <c r="C81" s="44">
        <v>-30.484388029589784</v>
      </c>
      <c r="D81" s="50" t="str">
        <f t="shared" si="6"/>
        <v/>
      </c>
      <c r="E81" s="44">
        <v>-29.496923076923082</v>
      </c>
      <c r="F81" s="44"/>
      <c r="G81" s="44"/>
      <c r="H81" s="41" t="s">
        <v>9</v>
      </c>
      <c r="I81" s="41"/>
      <c r="J81" s="33" t="s">
        <v>18</v>
      </c>
      <c r="K81" s="46">
        <f t="shared" si="7"/>
        <v>-30.613810404424811</v>
      </c>
      <c r="L81" s="32" t="e">
        <v>#VALUE!</v>
      </c>
      <c r="M81" s="32" t="e">
        <v>#VALUE!</v>
      </c>
      <c r="N81" s="32">
        <v>1.3757320771717865</v>
      </c>
      <c r="O81" s="32">
        <v>1.6753309912525935</v>
      </c>
      <c r="P81" s="128" t="str">
        <f t="shared" si="8"/>
        <v/>
      </c>
      <c r="Q81" s="128" t="str">
        <f t="shared" si="9"/>
        <v/>
      </c>
      <c r="R81" s="128" t="str">
        <f t="shared" si="10"/>
        <v/>
      </c>
      <c r="S81" s="109"/>
      <c r="T81" s="104">
        <v>0</v>
      </c>
      <c r="U81" s="104">
        <v>0</v>
      </c>
      <c r="V81" s="104">
        <v>0</v>
      </c>
      <c r="W81" s="104"/>
      <c r="Y81"/>
    </row>
    <row r="82" spans="1:30" s="131" customFormat="1" x14ac:dyDescent="0.3">
      <c r="A82" s="134">
        <v>373</v>
      </c>
      <c r="B82" s="124">
        <v>-30.928361877224201</v>
      </c>
      <c r="C82" s="124">
        <v>-29.464349142280525</v>
      </c>
      <c r="D82" s="135">
        <f t="shared" si="6"/>
        <v>-29.530173167451245</v>
      </c>
      <c r="E82" s="124">
        <v>-27.391338289962825</v>
      </c>
      <c r="F82" s="124">
        <v>-29.434246805648961</v>
      </c>
      <c r="G82" s="124">
        <v>-29.626099529253533</v>
      </c>
      <c r="H82" s="136"/>
      <c r="I82" s="136"/>
      <c r="J82" s="127" t="s">
        <v>18</v>
      </c>
      <c r="K82" s="128">
        <f t="shared" si="7"/>
        <v>-29.395761468636881</v>
      </c>
      <c r="L82" s="128">
        <v>2.1388348774884207</v>
      </c>
      <c r="M82" s="128">
        <v>-6.5824025170719835E-2</v>
      </c>
      <c r="N82" s="128">
        <v>1.464012734943676</v>
      </c>
      <c r="O82" s="128">
        <v>1.7355997810453303</v>
      </c>
      <c r="P82" s="128">
        <f t="shared" si="8"/>
        <v>1.3981887097729562</v>
      </c>
      <c r="Q82" s="128">
        <f t="shared" si="9"/>
        <v>-6.5824025170719835E-2</v>
      </c>
      <c r="R82" s="128">
        <f t="shared" si="10"/>
        <v>0.66618234230111995</v>
      </c>
      <c r="S82" s="137">
        <v>0</v>
      </c>
      <c r="T82" s="130">
        <v>0</v>
      </c>
      <c r="U82" s="130">
        <v>0</v>
      </c>
      <c r="V82" s="130">
        <v>0</v>
      </c>
      <c r="W82" s="130">
        <v>0</v>
      </c>
      <c r="X82" s="131" t="s">
        <v>16</v>
      </c>
    </row>
    <row r="83" spans="1:30" s="47" customFormat="1" x14ac:dyDescent="0.3">
      <c r="A83" s="49">
        <v>384</v>
      </c>
      <c r="B83" s="44">
        <v>-33.20664285714286</v>
      </c>
      <c r="C83" s="44">
        <v>-32.228051470588234</v>
      </c>
      <c r="D83" s="50" t="str">
        <f t="shared" si="6"/>
        <v/>
      </c>
      <c r="E83" s="44">
        <v>-31.642993769994948</v>
      </c>
      <c r="F83" s="44"/>
      <c r="G83" s="44"/>
      <c r="H83" s="41"/>
      <c r="I83" s="41"/>
      <c r="J83" s="33" t="s">
        <v>18</v>
      </c>
      <c r="K83" s="46">
        <f t="shared" si="7"/>
        <v>-32.359229365908682</v>
      </c>
      <c r="L83" s="32" t="e">
        <v>#VALUE!</v>
      </c>
      <c r="M83" s="32" t="e">
        <v>#VALUE!</v>
      </c>
      <c r="N83" s="32">
        <v>0.9785913865546263</v>
      </c>
      <c r="O83" s="32">
        <v>1.0743533938705987</v>
      </c>
      <c r="P83" s="128" t="str">
        <f t="shared" si="8"/>
        <v/>
      </c>
      <c r="Q83" s="128" t="str">
        <f t="shared" si="9"/>
        <v/>
      </c>
      <c r="R83" s="128" t="str">
        <f t="shared" si="10"/>
        <v/>
      </c>
      <c r="S83" s="107"/>
      <c r="T83" s="104">
        <v>0</v>
      </c>
      <c r="U83" s="104">
        <v>0</v>
      </c>
      <c r="V83" s="104">
        <v>0</v>
      </c>
      <c r="W83" s="104">
        <v>0</v>
      </c>
      <c r="Y83"/>
    </row>
    <row r="84" spans="1:30" x14ac:dyDescent="0.3">
      <c r="A84" s="10">
        <v>385</v>
      </c>
      <c r="B84" s="9">
        <v>-33.010153846153848</v>
      </c>
      <c r="C84" s="9">
        <v>-33.032332072953743</v>
      </c>
      <c r="D84" s="12">
        <f t="shared" si="6"/>
        <v>-32.915156888983333</v>
      </c>
      <c r="E84" s="9">
        <v>-32.168860077454113</v>
      </c>
      <c r="F84" s="9">
        <v>-32.964428870345628</v>
      </c>
      <c r="G84" s="9">
        <v>-32.865884907621044</v>
      </c>
      <c r="H84" s="5"/>
      <c r="I84" s="5"/>
      <c r="J84" s="33" t="s">
        <v>18</v>
      </c>
      <c r="K84" s="32">
        <f t="shared" si="7"/>
        <v>-32.826136110585288</v>
      </c>
      <c r="L84" s="32">
        <v>0.74629681152921989</v>
      </c>
      <c r="M84" s="32">
        <v>0.11717518397041005</v>
      </c>
      <c r="N84" s="32">
        <v>-2.2178226799894674E-2</v>
      </c>
      <c r="O84" s="32">
        <v>0.47923447633507266</v>
      </c>
      <c r="P84" s="128">
        <f t="shared" si="8"/>
        <v>0.11717518397041005</v>
      </c>
      <c r="Q84" s="128">
        <f t="shared" si="9"/>
        <v>9.4996957170515373E-2</v>
      </c>
      <c r="R84" s="128">
        <f t="shared" si="10"/>
        <v>0.10608607057046271</v>
      </c>
      <c r="S84" s="111">
        <v>0</v>
      </c>
      <c r="T84" s="99">
        <v>1</v>
      </c>
      <c r="U84" s="99">
        <v>1</v>
      </c>
      <c r="V84" s="99">
        <v>1</v>
      </c>
      <c r="W84" s="99">
        <v>0</v>
      </c>
      <c r="X84" t="s">
        <v>16</v>
      </c>
      <c r="AC84"/>
      <c r="AD84"/>
    </row>
    <row r="85" spans="1:30" s="47" customFormat="1" x14ac:dyDescent="0.3">
      <c r="A85" s="49">
        <v>386</v>
      </c>
      <c r="B85" s="44">
        <v>-32.17788085814405</v>
      </c>
      <c r="C85" s="44">
        <v>-32.242098564660964</v>
      </c>
      <c r="D85" s="50" t="str">
        <f t="shared" si="6"/>
        <v/>
      </c>
      <c r="E85" s="44">
        <v>-33.719371146732435</v>
      </c>
      <c r="F85" s="44"/>
      <c r="G85" s="44"/>
      <c r="H85" s="41"/>
      <c r="I85" s="41"/>
      <c r="J85" s="33" t="s">
        <v>18</v>
      </c>
      <c r="K85" s="46">
        <f t="shared" si="7"/>
        <v>-32.713116856512478</v>
      </c>
      <c r="L85" s="32" t="e">
        <v>#VALUE!</v>
      </c>
      <c r="M85" s="32" t="e">
        <v>#VALUE!</v>
      </c>
      <c r="N85" s="32">
        <v>-6.4217706516913609E-2</v>
      </c>
      <c r="O85" s="32">
        <v>-1.509381435329928</v>
      </c>
      <c r="P85" s="128" t="str">
        <f t="shared" si="8"/>
        <v/>
      </c>
      <c r="Q85" s="128" t="str">
        <f t="shared" si="9"/>
        <v/>
      </c>
      <c r="R85" s="128" t="str">
        <f t="shared" si="10"/>
        <v/>
      </c>
      <c r="S85" s="112"/>
      <c r="T85" s="104"/>
      <c r="U85" s="104"/>
      <c r="V85" s="104"/>
      <c r="W85" s="104"/>
      <c r="Y85"/>
    </row>
    <row r="86" spans="1:30" x14ac:dyDescent="0.3">
      <c r="A86" s="10">
        <v>388</v>
      </c>
      <c r="B86" s="9">
        <v>-33.852122341691697</v>
      </c>
      <c r="C86" s="9">
        <v>-34.29</v>
      </c>
      <c r="D86" s="12">
        <f t="shared" si="6"/>
        <v>-33.862642372881361</v>
      </c>
      <c r="E86" s="9">
        <v>-32.096471186440681</v>
      </c>
      <c r="F86" s="9">
        <v>-33.888091525423732</v>
      </c>
      <c r="G86" s="9">
        <v>-33.837193220338989</v>
      </c>
      <c r="H86" s="5"/>
      <c r="I86" s="5"/>
      <c r="J86" s="33" t="s">
        <v>18</v>
      </c>
      <c r="K86" s="32">
        <f t="shared" si="7"/>
        <v>-33.637753441129412</v>
      </c>
      <c r="L86" s="32">
        <v>1.7661711864406797</v>
      </c>
      <c r="M86" s="32">
        <v>0.42735762711863856</v>
      </c>
      <c r="N86" s="32">
        <v>-0.43787765830830239</v>
      </c>
      <c r="O86" s="32">
        <v>1.0915043911848272</v>
      </c>
      <c r="P86" s="128">
        <f t="shared" si="8"/>
        <v>0.42735762711863856</v>
      </c>
      <c r="Q86" s="128">
        <f t="shared" si="9"/>
        <v>-1.0520031189663825E-2</v>
      </c>
      <c r="R86" s="128">
        <f t="shared" si="10"/>
        <v>0.20841879796449092</v>
      </c>
      <c r="S86" s="111">
        <v>0</v>
      </c>
      <c r="T86" s="99">
        <v>1</v>
      </c>
      <c r="U86" s="99">
        <v>1</v>
      </c>
      <c r="V86" s="99">
        <v>1</v>
      </c>
      <c r="W86" s="99">
        <v>0</v>
      </c>
      <c r="X86" t="s">
        <v>16</v>
      </c>
      <c r="AC86"/>
      <c r="AD86"/>
    </row>
    <row r="87" spans="1:30" x14ac:dyDescent="0.3">
      <c r="A87" s="10">
        <v>389</v>
      </c>
      <c r="B87" s="9">
        <v>-35.026519823788547</v>
      </c>
      <c r="C87" s="9">
        <v>-33.422426470588235</v>
      </c>
      <c r="D87" s="12">
        <f t="shared" si="6"/>
        <v>-33.926393341553634</v>
      </c>
      <c r="E87" s="9">
        <v>-34.100407476006062</v>
      </c>
      <c r="F87" s="9">
        <v>-33.800160295930951</v>
      </c>
      <c r="G87" s="9">
        <v>-34.052626387176325</v>
      </c>
      <c r="H87" s="5"/>
      <c r="I87" s="5"/>
      <c r="J87" s="33" t="s">
        <v>18</v>
      </c>
      <c r="K87" s="32">
        <f t="shared" si="7"/>
        <v>-34.054755632507288</v>
      </c>
      <c r="L87" s="32">
        <v>-0.17401413445242753</v>
      </c>
      <c r="M87" s="32">
        <v>-0.50396687096539949</v>
      </c>
      <c r="N87" s="32">
        <v>1.6040933532003123</v>
      </c>
      <c r="O87" s="32">
        <v>0.21107273840854646</v>
      </c>
      <c r="P87" s="32">
        <f t="shared" si="8"/>
        <v>0.9261123477824853</v>
      </c>
      <c r="Q87" s="32">
        <f t="shared" si="9"/>
        <v>-0.67798100541782702</v>
      </c>
      <c r="R87" s="128">
        <f t="shared" si="10"/>
        <v>0.12406567118232914</v>
      </c>
      <c r="S87" s="105">
        <v>0</v>
      </c>
      <c r="T87" s="99">
        <v>0</v>
      </c>
      <c r="U87" s="99">
        <v>0</v>
      </c>
      <c r="V87" s="99">
        <v>0</v>
      </c>
      <c r="W87" s="99">
        <v>0</v>
      </c>
      <c r="X87" t="s">
        <v>16</v>
      </c>
      <c r="AC87"/>
      <c r="AD87"/>
    </row>
    <row r="88" spans="1:30" x14ac:dyDescent="0.3">
      <c r="A88" s="10">
        <v>390</v>
      </c>
      <c r="B88" s="9">
        <v>-31.649538461538466</v>
      </c>
      <c r="C88" s="9">
        <v>-32.581481316725984</v>
      </c>
      <c r="D88" s="12">
        <f t="shared" si="6"/>
        <v>-32.343107645377316</v>
      </c>
      <c r="E88" s="9">
        <v>-31.855362855699614</v>
      </c>
      <c r="F88" s="9">
        <v>-33.019868486176904</v>
      </c>
      <c r="G88" s="9">
        <v>-31.666346804577735</v>
      </c>
      <c r="H88" s="5"/>
      <c r="I88" s="5"/>
      <c r="J88" s="33" t="s">
        <v>18</v>
      </c>
      <c r="K88" s="32">
        <f t="shared" si="7"/>
        <v>-32.185950928349335</v>
      </c>
      <c r="L88" s="32">
        <v>0.48774478967770207</v>
      </c>
      <c r="M88" s="32">
        <v>0.23837367134866838</v>
      </c>
      <c r="N88" s="32">
        <v>-0.9319428551875184</v>
      </c>
      <c r="O88" s="32">
        <v>1.6274638593763768E-2</v>
      </c>
      <c r="P88" s="128">
        <f t="shared" si="8"/>
        <v>0.23837367134866838</v>
      </c>
      <c r="Q88" s="128">
        <f t="shared" si="9"/>
        <v>-0.69356918383885002</v>
      </c>
      <c r="R88" s="128">
        <f t="shared" si="10"/>
        <v>-0.22759775624508904</v>
      </c>
      <c r="S88" s="105">
        <v>0</v>
      </c>
      <c r="T88" s="99">
        <v>1</v>
      </c>
      <c r="U88" s="99">
        <v>1</v>
      </c>
      <c r="V88" s="99">
        <v>1</v>
      </c>
      <c r="W88" s="99">
        <v>0</v>
      </c>
      <c r="X88" t="s">
        <v>16</v>
      </c>
      <c r="AC88"/>
      <c r="AD88"/>
    </row>
    <row r="89" spans="1:30" x14ac:dyDescent="0.3">
      <c r="A89" s="10">
        <v>391</v>
      </c>
      <c r="B89" s="9">
        <v>-34.665230769230774</v>
      </c>
      <c r="C89" s="9">
        <v>-34.125</v>
      </c>
      <c r="D89" s="12">
        <f t="shared" si="6"/>
        <v>-34.153057437121689</v>
      </c>
      <c r="E89" s="9">
        <v>-35.445411685468933</v>
      </c>
      <c r="F89" s="9">
        <v>-34.374981009696704</v>
      </c>
      <c r="G89" s="9">
        <v>-33.931133864546673</v>
      </c>
      <c r="H89" s="5"/>
      <c r="I89" s="5"/>
      <c r="J89" s="33" t="s">
        <v>18</v>
      </c>
      <c r="K89" s="32">
        <f t="shared" si="7"/>
        <v>-34.44913579434413</v>
      </c>
      <c r="L89" s="32">
        <v>-1.2923542483472445</v>
      </c>
      <c r="M89" s="32">
        <v>-2.8057437121688622E-2</v>
      </c>
      <c r="N89" s="32">
        <v>0.5402307692307744</v>
      </c>
      <c r="O89" s="32">
        <v>-0.40411917667992014</v>
      </c>
      <c r="P89" s="128">
        <f t="shared" si="8"/>
        <v>-0.78018091623815877</v>
      </c>
      <c r="Q89" s="128">
        <f t="shared" si="9"/>
        <v>-1.3204116854689332</v>
      </c>
      <c r="R89" s="128">
        <f t="shared" si="10"/>
        <v>-1.050296300853546</v>
      </c>
      <c r="S89" s="105">
        <v>0</v>
      </c>
      <c r="T89" s="99">
        <v>0</v>
      </c>
      <c r="U89" s="99">
        <v>0</v>
      </c>
      <c r="V89" s="99">
        <v>0</v>
      </c>
      <c r="W89" s="99">
        <v>0</v>
      </c>
      <c r="X89" t="s">
        <v>16</v>
      </c>
      <c r="AC89"/>
      <c r="AD89"/>
    </row>
    <row r="90" spans="1:30" s="47" customFormat="1" x14ac:dyDescent="0.3">
      <c r="A90" s="49">
        <v>392</v>
      </c>
      <c r="B90" s="44">
        <v>-31.741082265677683</v>
      </c>
      <c r="C90" s="44">
        <v>-31.381821957790748</v>
      </c>
      <c r="D90" s="50" t="str">
        <f t="shared" si="6"/>
        <v/>
      </c>
      <c r="E90" s="44">
        <v>-30.640572687224669</v>
      </c>
      <c r="F90" s="44"/>
      <c r="G90" s="44"/>
      <c r="H90" s="41"/>
      <c r="I90" s="41"/>
      <c r="J90" s="33" t="s">
        <v>18</v>
      </c>
      <c r="K90" s="46">
        <f t="shared" si="7"/>
        <v>-31.254492303564366</v>
      </c>
      <c r="L90" s="32" t="e">
        <v>#VALUE!</v>
      </c>
      <c r="M90" s="32" t="e">
        <v>#VALUE!</v>
      </c>
      <c r="N90" s="32">
        <v>0.35926030788693453</v>
      </c>
      <c r="O90" s="32">
        <v>0.92087942450954685</v>
      </c>
      <c r="P90" s="128" t="str">
        <f t="shared" si="8"/>
        <v/>
      </c>
      <c r="Q90" s="128" t="str">
        <f t="shared" si="9"/>
        <v/>
      </c>
      <c r="R90" s="128" t="str">
        <f t="shared" si="10"/>
        <v/>
      </c>
      <c r="S90" s="107"/>
      <c r="T90" s="104">
        <v>0</v>
      </c>
      <c r="U90" s="104">
        <v>0</v>
      </c>
      <c r="V90" s="104">
        <v>0</v>
      </c>
      <c r="W90" s="104">
        <v>0</v>
      </c>
      <c r="Y90"/>
    </row>
    <row r="91" spans="1:30" s="47" customFormat="1" x14ac:dyDescent="0.3">
      <c r="A91" s="49">
        <v>393</v>
      </c>
      <c r="B91" s="44">
        <v>-30.065538461538463</v>
      </c>
      <c r="C91" s="44">
        <v>-28.313427491103209</v>
      </c>
      <c r="D91" s="50" t="str">
        <f t="shared" si="6"/>
        <v/>
      </c>
      <c r="E91" s="44">
        <v>-32.83630577538306</v>
      </c>
      <c r="F91" s="44"/>
      <c r="G91" s="44"/>
      <c r="H91" s="41"/>
      <c r="I91" s="41"/>
      <c r="J91" s="33" t="s">
        <v>18</v>
      </c>
      <c r="K91" s="46">
        <f t="shared" si="7"/>
        <v>-30.405090576008245</v>
      </c>
      <c r="L91" s="32" t="e">
        <v>#VALUE!</v>
      </c>
      <c r="M91" s="32" t="e">
        <v>#VALUE!</v>
      </c>
      <c r="N91" s="32">
        <v>1.752110970435254</v>
      </c>
      <c r="O91" s="32">
        <v>-3.6468227990622246</v>
      </c>
      <c r="P91" s="128" t="str">
        <f t="shared" si="8"/>
        <v/>
      </c>
      <c r="Q91" s="128" t="str">
        <f t="shared" si="9"/>
        <v/>
      </c>
      <c r="R91" s="128" t="str">
        <f t="shared" si="10"/>
        <v/>
      </c>
      <c r="S91" s="107"/>
      <c r="T91" s="104"/>
      <c r="U91" s="104"/>
      <c r="V91" s="104"/>
      <c r="W91" s="104">
        <v>0</v>
      </c>
      <c r="Y91"/>
    </row>
    <row r="92" spans="1:30" x14ac:dyDescent="0.3">
      <c r="A92" s="10">
        <v>394</v>
      </c>
      <c r="B92" s="9">
        <v>-34.32534004752744</v>
      </c>
      <c r="C92" s="9">
        <v>-32.80189724199289</v>
      </c>
      <c r="D92" s="12">
        <f t="shared" si="6"/>
        <v>-33.663624347533258</v>
      </c>
      <c r="E92" s="9">
        <v>-30.646985517009096</v>
      </c>
      <c r="F92" s="9">
        <v>-33.51</v>
      </c>
      <c r="G92" s="9">
        <v>-33.81724869506651</v>
      </c>
      <c r="H92" s="5"/>
      <c r="I92" s="5"/>
      <c r="J92" s="33" t="s">
        <v>18</v>
      </c>
      <c r="K92" s="32">
        <f t="shared" si="7"/>
        <v>-33.127515974854866</v>
      </c>
      <c r="L92" s="32">
        <v>3.0166388305241618</v>
      </c>
      <c r="M92" s="32">
        <v>-0.86172710554036769</v>
      </c>
      <c r="N92" s="32">
        <v>1.5234428055345504</v>
      </c>
      <c r="O92" s="32">
        <v>1.4083137124889902</v>
      </c>
      <c r="P92" s="128">
        <f t="shared" si="8"/>
        <v>0.66171569999418267</v>
      </c>
      <c r="Q92" s="128">
        <f t="shared" si="9"/>
        <v>-0.86172710554036769</v>
      </c>
      <c r="R92" s="128">
        <f t="shared" si="10"/>
        <v>-0.10000570277308896</v>
      </c>
      <c r="S92" s="110">
        <v>1</v>
      </c>
      <c r="T92" s="99">
        <v>0</v>
      </c>
      <c r="U92" s="99">
        <v>0</v>
      </c>
      <c r="V92" s="99">
        <v>0</v>
      </c>
      <c r="W92" s="99">
        <v>0</v>
      </c>
      <c r="X92" t="s">
        <v>16</v>
      </c>
      <c r="AC92"/>
      <c r="AD92"/>
    </row>
    <row r="93" spans="1:30" x14ac:dyDescent="0.3">
      <c r="A93" s="10">
        <v>395</v>
      </c>
      <c r="B93" s="9">
        <v>-33.96852663519892</v>
      </c>
      <c r="C93" s="9">
        <v>-33.165224693599633</v>
      </c>
      <c r="D93" s="12">
        <f t="shared" si="6"/>
        <v>-32.913808951424727</v>
      </c>
      <c r="E93" s="9">
        <v>-30.350257072294564</v>
      </c>
      <c r="F93" s="9">
        <v>-33.383501176755786</v>
      </c>
      <c r="G93" s="9">
        <v>-32.444116726093675</v>
      </c>
      <c r="H93" s="5"/>
      <c r="I93" s="5"/>
      <c r="J93" s="33" t="s">
        <v>18</v>
      </c>
      <c r="K93" s="32">
        <f t="shared" si="7"/>
        <v>-32.704239209227886</v>
      </c>
      <c r="L93" s="32">
        <v>2.5635518791301628</v>
      </c>
      <c r="M93" s="32">
        <v>0.25141574217490614</v>
      </c>
      <c r="N93" s="32">
        <v>0.80330194159928681</v>
      </c>
      <c r="O93" s="32">
        <v>1.9348426525396292</v>
      </c>
      <c r="P93" s="128">
        <f t="shared" si="8"/>
        <v>1.0547176837741929</v>
      </c>
      <c r="Q93" s="128">
        <f t="shared" si="9"/>
        <v>0.25141574217490614</v>
      </c>
      <c r="R93" s="128">
        <f t="shared" si="10"/>
        <v>0.65306671297454955</v>
      </c>
      <c r="S93" s="105">
        <v>0</v>
      </c>
      <c r="T93" s="99">
        <v>0</v>
      </c>
      <c r="U93" s="99">
        <v>0</v>
      </c>
      <c r="V93" s="99">
        <v>0</v>
      </c>
      <c r="W93" s="99">
        <v>0</v>
      </c>
      <c r="X93" t="s">
        <v>16</v>
      </c>
      <c r="AC93"/>
      <c r="AD93"/>
    </row>
    <row r="94" spans="1:30" x14ac:dyDescent="0.3">
      <c r="A94" s="10">
        <v>396</v>
      </c>
      <c r="B94" s="9">
        <v>-33.313836171216117</v>
      </c>
      <c r="C94" s="9">
        <v>-33.010919117647056</v>
      </c>
      <c r="D94" s="12">
        <f t="shared" si="6"/>
        <v>-32.447327586206903</v>
      </c>
      <c r="E94" s="9">
        <v>-31.825024414884659</v>
      </c>
      <c r="F94" s="9">
        <v>-32.850775862068971</v>
      </c>
      <c r="G94" s="9">
        <v>-32.043879310344835</v>
      </c>
      <c r="H94" s="5"/>
      <c r="I94" s="5"/>
      <c r="J94" s="33" t="s">
        <v>18</v>
      </c>
      <c r="K94" s="32">
        <f t="shared" si="7"/>
        <v>-32.581960410394764</v>
      </c>
      <c r="L94" s="32">
        <v>0.622303171322244</v>
      </c>
      <c r="M94" s="32">
        <v>0.56359153144015295</v>
      </c>
      <c r="N94" s="32">
        <v>0.30291705356906107</v>
      </c>
      <c r="O94" s="32">
        <v>1.0262016438858055</v>
      </c>
      <c r="P94" s="128">
        <f t="shared" si="8"/>
        <v>0.86650858500921402</v>
      </c>
      <c r="Q94" s="128">
        <f t="shared" si="9"/>
        <v>0.56359153144015295</v>
      </c>
      <c r="R94" s="128">
        <f t="shared" si="10"/>
        <v>0.71505005822468348</v>
      </c>
      <c r="S94" s="105">
        <v>0</v>
      </c>
      <c r="T94" s="99">
        <v>0</v>
      </c>
      <c r="U94" s="99">
        <v>0</v>
      </c>
      <c r="V94" s="99">
        <v>0</v>
      </c>
      <c r="W94" s="99">
        <v>0</v>
      </c>
      <c r="X94" t="s">
        <v>16</v>
      </c>
      <c r="AC94"/>
      <c r="AD94"/>
    </row>
    <row r="95" spans="1:30" x14ac:dyDescent="0.3">
      <c r="A95" s="10">
        <v>400</v>
      </c>
      <c r="B95" s="9">
        <v>-34.247165062016649</v>
      </c>
      <c r="C95" s="9">
        <v>-34.700000000000003</v>
      </c>
      <c r="D95" s="12">
        <f t="shared" si="6"/>
        <v>-34.017863318253021</v>
      </c>
      <c r="E95" s="9">
        <v>-35.231806779661021</v>
      </c>
      <c r="F95" s="9">
        <v>-34.24437966101695</v>
      </c>
      <c r="G95" s="9">
        <v>-33.791346975489091</v>
      </c>
      <c r="H95" s="5"/>
      <c r="I95" s="5"/>
      <c r="J95" s="33" t="s">
        <v>18</v>
      </c>
      <c r="K95" s="32">
        <f t="shared" si="7"/>
        <v>-34.372093632739457</v>
      </c>
      <c r="L95" s="32">
        <v>-1.2139434614080002</v>
      </c>
      <c r="M95" s="32">
        <v>0.68213668174698228</v>
      </c>
      <c r="N95" s="32">
        <v>-0.45283493798335428</v>
      </c>
      <c r="O95" s="32">
        <v>-0.15125251794869854</v>
      </c>
      <c r="P95" s="128">
        <f t="shared" si="8"/>
        <v>-0.53180677966101797</v>
      </c>
      <c r="Q95" s="128">
        <f t="shared" si="9"/>
        <v>-0.98464171764437225</v>
      </c>
      <c r="R95" s="128">
        <f t="shared" si="10"/>
        <v>-0.75822424865269511</v>
      </c>
      <c r="S95" s="105">
        <v>0</v>
      </c>
      <c r="T95" s="99">
        <v>1</v>
      </c>
      <c r="U95" s="99">
        <v>1</v>
      </c>
      <c r="V95" s="99">
        <v>1</v>
      </c>
      <c r="W95" s="99">
        <v>0</v>
      </c>
      <c r="X95" t="s">
        <v>16</v>
      </c>
      <c r="AC95"/>
      <c r="AD95"/>
    </row>
    <row r="96" spans="1:30" s="47" customFormat="1" x14ac:dyDescent="0.3">
      <c r="A96" s="49">
        <v>410</v>
      </c>
      <c r="B96" s="44">
        <v>-31.020785714285701</v>
      </c>
      <c r="C96" s="44">
        <v>-30.837230769230775</v>
      </c>
      <c r="D96" s="50" t="str">
        <f t="shared" si="6"/>
        <v/>
      </c>
      <c r="E96" s="44">
        <v>-30.171603233411922</v>
      </c>
      <c r="F96" s="44"/>
      <c r="G96" s="44"/>
      <c r="H96" s="41"/>
      <c r="I96" s="41"/>
      <c r="J96" s="33" t="s">
        <v>18</v>
      </c>
      <c r="K96" s="46">
        <f t="shared" si="7"/>
        <v>-30.676539905642802</v>
      </c>
      <c r="L96" s="32" t="e">
        <v>#VALUE!</v>
      </c>
      <c r="M96" s="32" t="e">
        <v>#VALUE!</v>
      </c>
      <c r="N96" s="32">
        <v>0.18355494505492587</v>
      </c>
      <c r="O96" s="32">
        <v>0.75740500834631774</v>
      </c>
      <c r="P96" s="128" t="str">
        <f t="shared" si="8"/>
        <v/>
      </c>
      <c r="Q96" s="128" t="str">
        <f t="shared" si="9"/>
        <v/>
      </c>
      <c r="R96" s="128" t="str">
        <f t="shared" si="10"/>
        <v/>
      </c>
      <c r="S96" s="107"/>
      <c r="T96" s="104">
        <v>0</v>
      </c>
      <c r="U96" s="104">
        <v>0</v>
      </c>
      <c r="V96" s="104">
        <v>0</v>
      </c>
      <c r="W96" s="104">
        <v>0</v>
      </c>
      <c r="Y96"/>
    </row>
    <row r="97" spans="1:30" s="47" customFormat="1" x14ac:dyDescent="0.3">
      <c r="A97" s="49">
        <v>412</v>
      </c>
      <c r="B97" s="44">
        <v>-32.000384786476872</v>
      </c>
      <c r="C97" s="44">
        <v>-32.200762900355876</v>
      </c>
      <c r="D97" s="50" t="str">
        <f t="shared" si="6"/>
        <v/>
      </c>
      <c r="E97" s="44">
        <v>-30.555954866958576</v>
      </c>
      <c r="F97" s="44"/>
      <c r="G97" s="44"/>
      <c r="H97" s="41"/>
      <c r="I97" s="41"/>
      <c r="J97" s="33" t="s">
        <v>18</v>
      </c>
      <c r="K97" s="46">
        <f t="shared" si="7"/>
        <v>-31.58570085126377</v>
      </c>
      <c r="L97" s="32" t="e">
        <v>#VALUE!</v>
      </c>
      <c r="M97" s="32" t="e">
        <v>#VALUE!</v>
      </c>
      <c r="N97" s="32">
        <v>-0.20037811387900462</v>
      </c>
      <c r="O97" s="32">
        <v>1.5446189764577944</v>
      </c>
      <c r="P97" s="128" t="str">
        <f t="shared" si="8"/>
        <v/>
      </c>
      <c r="Q97" s="128" t="str">
        <f t="shared" si="9"/>
        <v/>
      </c>
      <c r="R97" s="128" t="str">
        <f t="shared" si="10"/>
        <v/>
      </c>
      <c r="S97" s="109"/>
      <c r="T97" s="104"/>
      <c r="U97" s="104"/>
      <c r="V97" s="104"/>
      <c r="W97" s="104"/>
      <c r="Y97"/>
    </row>
    <row r="98" spans="1:30" s="47" customFormat="1" x14ac:dyDescent="0.3">
      <c r="A98" s="49">
        <v>413</v>
      </c>
      <c r="B98" s="44">
        <v>-28.734221530249112</v>
      </c>
      <c r="C98" s="44">
        <v>-26.759405940594061</v>
      </c>
      <c r="D98" s="50" t="str">
        <f t="shared" ref="D98:D107" si="11">IF(AND(ISBLANK(F98),ISBLANK(G98)),"",IF(ISBLANK(F98),G98,IF(ISBLANK(G98),F98,(G98+F98)/2)))</f>
        <v/>
      </c>
      <c r="E98" s="44">
        <v>-34.379242169080506</v>
      </c>
      <c r="F98" s="44"/>
      <c r="G98" s="44"/>
      <c r="H98" s="41"/>
      <c r="I98" s="41"/>
      <c r="J98" s="33" t="s">
        <v>18</v>
      </c>
      <c r="K98" s="46">
        <f t="shared" si="7"/>
        <v>-29.957623213307894</v>
      </c>
      <c r="L98" s="32" t="e">
        <v>#VALUE!</v>
      </c>
      <c r="M98" s="32" t="e">
        <v>#VALUE!</v>
      </c>
      <c r="N98" s="32">
        <v>1.9748155896550514</v>
      </c>
      <c r="O98" s="32">
        <v>-6.6324284336589194</v>
      </c>
      <c r="P98" s="128" t="str">
        <f t="shared" si="8"/>
        <v/>
      </c>
      <c r="Q98" s="128" t="str">
        <f t="shared" si="9"/>
        <v/>
      </c>
      <c r="R98" s="128" t="str">
        <f t="shared" si="10"/>
        <v/>
      </c>
      <c r="S98" s="109"/>
      <c r="T98" s="104"/>
      <c r="U98" s="104"/>
      <c r="V98" s="104"/>
      <c r="W98" s="104"/>
      <c r="Y98"/>
    </row>
    <row r="99" spans="1:30" s="47" customFormat="1" x14ac:dyDescent="0.3">
      <c r="A99" s="49">
        <v>414</v>
      </c>
      <c r="B99" s="44">
        <v>-30.758040480427049</v>
      </c>
      <c r="C99" s="44">
        <v>-30.8482106316726</v>
      </c>
      <c r="D99" s="50" t="str">
        <f t="shared" si="11"/>
        <v/>
      </c>
      <c r="E99" s="44">
        <v>-28.852750500330846</v>
      </c>
      <c r="F99" s="44"/>
      <c r="G99" s="44"/>
      <c r="H99" s="41"/>
      <c r="I99" s="41"/>
      <c r="J99" s="33" t="s">
        <v>18</v>
      </c>
      <c r="K99" s="46">
        <f t="shared" si="7"/>
        <v>-30.153000537476832</v>
      </c>
      <c r="L99" s="32" t="e">
        <v>#VALUE!</v>
      </c>
      <c r="M99" s="32" t="e">
        <v>#VALUE!</v>
      </c>
      <c r="N99" s="32">
        <v>-9.0170151245551722E-2</v>
      </c>
      <c r="O99" s="32">
        <v>1.950375055718979</v>
      </c>
      <c r="P99" s="128" t="str">
        <f t="shared" si="8"/>
        <v/>
      </c>
      <c r="Q99" s="128" t="str">
        <f t="shared" si="9"/>
        <v/>
      </c>
      <c r="R99" s="128" t="str">
        <f t="shared" si="10"/>
        <v/>
      </c>
      <c r="S99" s="109"/>
      <c r="T99" s="104">
        <v>0</v>
      </c>
      <c r="U99" s="104">
        <v>0</v>
      </c>
      <c r="V99" s="104">
        <v>0</v>
      </c>
      <c r="W99" s="104"/>
      <c r="Y99"/>
    </row>
    <row r="100" spans="1:30" s="47" customFormat="1" x14ac:dyDescent="0.3">
      <c r="A100" s="49">
        <v>415</v>
      </c>
      <c r="B100" s="44">
        <v>-32.358857142857147</v>
      </c>
      <c r="C100" s="44">
        <v>-32.16738461538462</v>
      </c>
      <c r="D100" s="50" t="str">
        <f t="shared" si="11"/>
        <v/>
      </c>
      <c r="E100" s="44">
        <v>-29.88839676658808</v>
      </c>
      <c r="F100" s="44"/>
      <c r="G100" s="44"/>
      <c r="H100" s="41"/>
      <c r="I100" s="41"/>
      <c r="J100" s="33" t="s">
        <v>18</v>
      </c>
      <c r="K100" s="46">
        <f t="shared" si="7"/>
        <v>-31.471546174943285</v>
      </c>
      <c r="L100" s="32" t="e">
        <v>#VALUE!</v>
      </c>
      <c r="M100" s="32" t="e">
        <v>#VALUE!</v>
      </c>
      <c r="N100" s="32">
        <v>0.19147252747252708</v>
      </c>
      <c r="O100" s="32">
        <v>2.3747241125328031</v>
      </c>
      <c r="P100" s="128" t="str">
        <f t="shared" si="8"/>
        <v/>
      </c>
      <c r="Q100" s="128" t="str">
        <f t="shared" si="9"/>
        <v/>
      </c>
      <c r="R100" s="128" t="str">
        <f t="shared" si="10"/>
        <v/>
      </c>
      <c r="S100" s="109"/>
      <c r="T100" s="104">
        <v>0</v>
      </c>
      <c r="U100" s="104">
        <v>0</v>
      </c>
      <c r="V100" s="104">
        <v>0</v>
      </c>
      <c r="W100" s="104"/>
      <c r="Y100"/>
    </row>
    <row r="101" spans="1:30" x14ac:dyDescent="0.3">
      <c r="A101" s="10">
        <v>417</v>
      </c>
      <c r="B101" s="9">
        <v>-31.796470588235294</v>
      </c>
      <c r="C101" s="9">
        <v>-32.004923076923077</v>
      </c>
      <c r="D101" s="12">
        <f t="shared" si="11"/>
        <v>-31.956542949999999</v>
      </c>
      <c r="E101" s="9">
        <v>-32.472244485603639</v>
      </c>
      <c r="F101" s="9">
        <v>-32.102417299999999</v>
      </c>
      <c r="G101" s="9">
        <v>-31.8106686</v>
      </c>
      <c r="H101" s="5"/>
      <c r="I101" s="5"/>
      <c r="J101" s="33" t="s">
        <v>18</v>
      </c>
      <c r="K101" s="32">
        <f t="shared" si="7"/>
        <v>-32.02387783346034</v>
      </c>
      <c r="L101" s="32">
        <v>-0.51570153560363963</v>
      </c>
      <c r="M101" s="32">
        <v>4.8380126923078137E-2</v>
      </c>
      <c r="N101" s="32">
        <v>-0.20845248868778299</v>
      </c>
      <c r="O101" s="32">
        <v>-0.31369688522263317</v>
      </c>
      <c r="P101" s="128">
        <f t="shared" si="8"/>
        <v>-0.46732140868056149</v>
      </c>
      <c r="Q101" s="128">
        <f t="shared" si="9"/>
        <v>-0.67577389736834448</v>
      </c>
      <c r="R101" s="128">
        <f t="shared" si="10"/>
        <v>-0.57154765302445298</v>
      </c>
      <c r="S101" s="110">
        <v>0</v>
      </c>
      <c r="T101" s="99">
        <v>1</v>
      </c>
      <c r="U101" s="99">
        <v>1</v>
      </c>
      <c r="V101" s="99">
        <v>1</v>
      </c>
      <c r="W101" s="99">
        <v>0</v>
      </c>
      <c r="X101" t="s">
        <v>16</v>
      </c>
      <c r="AC101"/>
      <c r="AD101"/>
    </row>
    <row r="102" spans="1:30" x14ac:dyDescent="0.3">
      <c r="A102" s="10">
        <v>418</v>
      </c>
      <c r="B102" s="9">
        <v>-31.094174822814715</v>
      </c>
      <c r="C102" s="9">
        <v>-31.236064799190011</v>
      </c>
      <c r="D102" s="12">
        <f t="shared" si="11"/>
        <v>-31.271537293283835</v>
      </c>
      <c r="E102" s="9">
        <v>-30.344184947688156</v>
      </c>
      <c r="F102" s="9">
        <v>-31.246199797502531</v>
      </c>
      <c r="G102" s="9">
        <v>-31.296874789065136</v>
      </c>
      <c r="H102" s="5"/>
      <c r="I102" s="5"/>
      <c r="J102" s="33" t="s">
        <v>18</v>
      </c>
      <c r="K102" s="32">
        <f t="shared" si="7"/>
        <v>-31.081506074924061</v>
      </c>
      <c r="L102" s="32">
        <v>0.92735234559567914</v>
      </c>
      <c r="M102" s="32">
        <v>-3.5472494093824025E-2</v>
      </c>
      <c r="N102" s="32">
        <v>-0.1418899763752961</v>
      </c>
      <c r="O102" s="32">
        <v>0.35725869051636749</v>
      </c>
      <c r="P102" s="128">
        <f t="shared" si="8"/>
        <v>-3.5472494093824025E-2</v>
      </c>
      <c r="Q102" s="128">
        <f t="shared" si="9"/>
        <v>-0.17736247046912013</v>
      </c>
      <c r="R102" s="128">
        <f t="shared" si="10"/>
        <v>-0.10641748228147208</v>
      </c>
      <c r="S102" s="110">
        <v>0</v>
      </c>
      <c r="T102" s="99">
        <v>1</v>
      </c>
      <c r="U102" s="99">
        <v>1</v>
      </c>
      <c r="V102" s="99">
        <v>1</v>
      </c>
      <c r="W102" s="99">
        <v>0</v>
      </c>
      <c r="X102" t="s">
        <v>16</v>
      </c>
      <c r="AC102"/>
      <c r="AD102"/>
    </row>
    <row r="103" spans="1:30" x14ac:dyDescent="0.3">
      <c r="A103" s="10">
        <v>419</v>
      </c>
      <c r="B103" s="9">
        <v>-31.661734728315896</v>
      </c>
      <c r="C103" s="9">
        <v>-31.732679716503544</v>
      </c>
      <c r="D103" s="12">
        <f t="shared" si="11"/>
        <v>-31.514777252784341</v>
      </c>
      <c r="E103" s="9">
        <v>-30.962419844751942</v>
      </c>
      <c r="F103" s="9">
        <v>-31.641464731690853</v>
      </c>
      <c r="G103" s="9">
        <v>-31.388089773877827</v>
      </c>
      <c r="H103" s="5"/>
      <c r="I103" s="5"/>
      <c r="J103" s="33" t="s">
        <v>18</v>
      </c>
      <c r="K103" s="32">
        <f t="shared" si="7"/>
        <v>-31.483527674654066</v>
      </c>
      <c r="L103" s="32">
        <v>0.55235740803239963</v>
      </c>
      <c r="M103" s="32">
        <v>0.21790246371920219</v>
      </c>
      <c r="N103" s="32">
        <v>-7.094498818764805E-2</v>
      </c>
      <c r="O103" s="32">
        <v>0.45860867364157798</v>
      </c>
      <c r="P103" s="128">
        <f t="shared" si="8"/>
        <v>0.21790246371920219</v>
      </c>
      <c r="Q103" s="128">
        <f t="shared" si="9"/>
        <v>0.14695747553155414</v>
      </c>
      <c r="R103" s="128">
        <f t="shared" si="10"/>
        <v>0.18242996962537816</v>
      </c>
      <c r="S103" s="110">
        <v>0</v>
      </c>
      <c r="T103" s="99">
        <v>1</v>
      </c>
      <c r="U103" s="99">
        <v>1</v>
      </c>
      <c r="V103" s="99">
        <v>1</v>
      </c>
      <c r="W103" s="99">
        <v>0</v>
      </c>
      <c r="X103" t="s">
        <v>16</v>
      </c>
      <c r="AC103"/>
      <c r="AD103"/>
    </row>
    <row r="104" spans="1:30" s="58" customFormat="1" x14ac:dyDescent="0.3">
      <c r="A104" s="52">
        <v>420</v>
      </c>
      <c r="B104" s="55">
        <v>-32.591500222419931</v>
      </c>
      <c r="C104" s="55">
        <v>-32.715938130464025</v>
      </c>
      <c r="D104" s="56">
        <f t="shared" si="11"/>
        <v>-33.180885508943916</v>
      </c>
      <c r="E104" s="55">
        <v>-24.542054035912066</v>
      </c>
      <c r="F104" s="55">
        <v>-33.917554599977372</v>
      </c>
      <c r="G104" s="55">
        <v>-32.444216417910454</v>
      </c>
      <c r="H104" s="53"/>
      <c r="I104" s="53"/>
      <c r="J104" s="33" t="s">
        <v>11</v>
      </c>
      <c r="K104" s="57">
        <f t="shared" si="7"/>
        <v>-31.565358152604631</v>
      </c>
      <c r="L104" s="32">
        <v>8.6388314730318498</v>
      </c>
      <c r="M104" s="32">
        <v>-0.46494737847989143</v>
      </c>
      <c r="N104" s="32">
        <v>-0.1244379080440936</v>
      </c>
      <c r="O104" s="32">
        <v>3.7922494040139902</v>
      </c>
      <c r="P104" s="128">
        <f t="shared" si="8"/>
        <v>-0.46494737847989143</v>
      </c>
      <c r="Q104" s="128">
        <f t="shared" si="9"/>
        <v>-0.58938528652398503</v>
      </c>
      <c r="R104" s="128">
        <f t="shared" si="10"/>
        <v>-0.52716633250193468</v>
      </c>
      <c r="S104" s="113"/>
      <c r="T104" s="114"/>
      <c r="U104" s="114"/>
      <c r="V104" s="114"/>
      <c r="W104" s="114"/>
      <c r="X104" s="58" t="s">
        <v>17</v>
      </c>
      <c r="Y104"/>
    </row>
    <row r="105" spans="1:30" s="47" customFormat="1" x14ac:dyDescent="0.3">
      <c r="A105" s="49">
        <v>421</v>
      </c>
      <c r="B105" s="44">
        <v>-28.587995298858296</v>
      </c>
      <c r="C105" s="44">
        <v>-25.43</v>
      </c>
      <c r="D105" s="50" t="str">
        <f t="shared" si="11"/>
        <v/>
      </c>
      <c r="E105" s="44">
        <v>-24.003811764705883</v>
      </c>
      <c r="F105" s="44"/>
      <c r="G105" s="44"/>
      <c r="H105" s="41"/>
      <c r="I105" s="41"/>
      <c r="J105" s="82" t="s">
        <v>11</v>
      </c>
      <c r="K105" s="46">
        <f t="shared" si="7"/>
        <v>-26.007269021188062</v>
      </c>
      <c r="L105" s="32" t="e">
        <v>#VALUE!</v>
      </c>
      <c r="M105" s="32" t="e">
        <v>#VALUE!</v>
      </c>
      <c r="N105" s="32">
        <v>3.157995298858296</v>
      </c>
      <c r="O105" s="32">
        <v>3.0051858847232644</v>
      </c>
      <c r="P105" s="128" t="str">
        <f t="shared" si="8"/>
        <v/>
      </c>
      <c r="Q105" s="128" t="str">
        <f t="shared" si="9"/>
        <v/>
      </c>
      <c r="R105" s="128" t="str">
        <f t="shared" si="10"/>
        <v/>
      </c>
      <c r="S105" s="109"/>
      <c r="T105" s="104">
        <v>0</v>
      </c>
      <c r="U105" s="104">
        <v>0</v>
      </c>
      <c r="V105" s="104">
        <v>0</v>
      </c>
      <c r="W105" s="104"/>
      <c r="Y105"/>
    </row>
    <row r="106" spans="1:30" s="47" customFormat="1" x14ac:dyDescent="0.3">
      <c r="A106" s="49">
        <v>440</v>
      </c>
      <c r="B106" s="41"/>
      <c r="C106" s="41"/>
      <c r="D106" s="50" t="str">
        <f t="shared" si="11"/>
        <v/>
      </c>
      <c r="E106" s="41"/>
      <c r="F106" s="41"/>
      <c r="G106" s="41"/>
      <c r="H106" s="51"/>
      <c r="I106" s="45">
        <v>-26.8</v>
      </c>
      <c r="J106" s="82" t="s">
        <v>11</v>
      </c>
      <c r="K106" s="46" t="e">
        <f t="shared" si="7"/>
        <v>#DIV/0!</v>
      </c>
      <c r="L106" s="32" t="e">
        <v>#VALUE!</v>
      </c>
      <c r="M106" s="32" t="e">
        <v>#VALUE!</v>
      </c>
      <c r="N106" s="32">
        <v>0</v>
      </c>
      <c r="O106" s="32" t="e">
        <v>#DIV/0!</v>
      </c>
      <c r="P106" s="128" t="str">
        <f t="shared" si="8"/>
        <v/>
      </c>
      <c r="Q106" s="128" t="str">
        <f t="shared" si="9"/>
        <v/>
      </c>
      <c r="R106" s="128" t="str">
        <f t="shared" si="10"/>
        <v/>
      </c>
      <c r="S106" s="109"/>
      <c r="T106" s="104"/>
      <c r="U106" s="104"/>
      <c r="V106" s="104"/>
      <c r="W106" s="104"/>
      <c r="Y106"/>
    </row>
    <row r="107" spans="1:30" s="47" customFormat="1" x14ac:dyDescent="0.3">
      <c r="A107" s="49">
        <v>441</v>
      </c>
      <c r="B107" s="41"/>
      <c r="C107" s="41"/>
      <c r="D107" s="50" t="str">
        <f t="shared" si="11"/>
        <v/>
      </c>
      <c r="E107" s="41"/>
      <c r="F107" s="41"/>
      <c r="G107" s="41"/>
      <c r="H107" s="51"/>
      <c r="I107" s="45">
        <v>-27.1</v>
      </c>
      <c r="J107" s="82" t="s">
        <v>11</v>
      </c>
      <c r="K107" s="46" t="e">
        <f t="shared" si="7"/>
        <v>#DIV/0!</v>
      </c>
      <c r="L107" s="32" t="e">
        <v>#VALUE!</v>
      </c>
      <c r="M107" s="32" t="e">
        <v>#VALUE!</v>
      </c>
      <c r="N107" s="32">
        <v>0</v>
      </c>
      <c r="O107" s="32" t="e">
        <v>#DIV/0!</v>
      </c>
      <c r="P107" s="128" t="str">
        <f t="shared" si="8"/>
        <v/>
      </c>
      <c r="Q107" s="128" t="str">
        <f t="shared" si="9"/>
        <v/>
      </c>
      <c r="R107" s="128" t="str">
        <f t="shared" si="10"/>
        <v/>
      </c>
      <c r="S107" s="109"/>
      <c r="T107" s="104"/>
      <c r="U107" s="104"/>
      <c r="V107" s="104"/>
      <c r="W107" s="104"/>
      <c r="Y107"/>
    </row>
    <row r="108" spans="1:30" x14ac:dyDescent="0.3">
      <c r="A108" s="10">
        <v>442</v>
      </c>
      <c r="B108" s="13">
        <v>-28.2</v>
      </c>
      <c r="C108" s="13">
        <v>-26.9</v>
      </c>
      <c r="D108" s="13">
        <v>-27.6</v>
      </c>
      <c r="E108" s="13">
        <v>-27.9</v>
      </c>
      <c r="F108" s="13"/>
      <c r="G108" s="13"/>
      <c r="H108" s="14">
        <v>-27.7</v>
      </c>
      <c r="I108" s="8">
        <v>-25.5</v>
      </c>
      <c r="J108" s="33" t="s">
        <v>11</v>
      </c>
      <c r="K108" s="32">
        <f t="shared" si="7"/>
        <v>-27.65</v>
      </c>
      <c r="L108" s="32">
        <v>-0.29999999999999716</v>
      </c>
      <c r="M108" s="32">
        <v>-0.70000000000000284</v>
      </c>
      <c r="N108" s="32">
        <v>1.3000000000000007</v>
      </c>
      <c r="O108" s="32">
        <v>-0.20000000000000284</v>
      </c>
      <c r="P108" s="128">
        <f t="shared" si="8"/>
        <v>0.30000000000000071</v>
      </c>
      <c r="Q108" s="128">
        <f t="shared" si="9"/>
        <v>-1</v>
      </c>
      <c r="R108" s="128">
        <f t="shared" si="10"/>
        <v>-0.35000000000000142</v>
      </c>
      <c r="S108" s="110">
        <v>0</v>
      </c>
      <c r="T108" s="99">
        <v>0</v>
      </c>
      <c r="U108" s="99">
        <v>0</v>
      </c>
      <c r="V108" s="99">
        <v>0</v>
      </c>
      <c r="W108" s="99">
        <v>0</v>
      </c>
      <c r="X108" t="s">
        <v>16</v>
      </c>
      <c r="AC108"/>
      <c r="AD108"/>
    </row>
    <row r="109" spans="1:30" s="47" customFormat="1" x14ac:dyDescent="0.3">
      <c r="A109" s="49">
        <v>443</v>
      </c>
      <c r="B109" s="70"/>
      <c r="C109" s="70"/>
      <c r="D109" s="70" t="str">
        <f t="shared" ref="D109:D110" si="12">IF(AND(ISBLANK(F109),ISBLANK(G109)),"",IF(ISBLANK(F109),G109,IF(ISBLANK(G109),F109,(G109+F109)/2)))</f>
        <v/>
      </c>
      <c r="E109" s="70"/>
      <c r="F109" s="70"/>
      <c r="G109" s="70"/>
      <c r="H109" s="71"/>
      <c r="I109" s="45">
        <v>-27</v>
      </c>
      <c r="J109" s="33" t="s">
        <v>11</v>
      </c>
      <c r="K109" s="46" t="e">
        <f t="shared" si="7"/>
        <v>#DIV/0!</v>
      </c>
      <c r="L109" s="32" t="e">
        <v>#VALUE!</v>
      </c>
      <c r="M109" s="32" t="e">
        <v>#VALUE!</v>
      </c>
      <c r="N109" s="32">
        <v>0</v>
      </c>
      <c r="O109" s="32" t="e">
        <v>#DIV/0!</v>
      </c>
      <c r="P109" s="128" t="str">
        <f t="shared" si="8"/>
        <v/>
      </c>
      <c r="Q109" s="128" t="str">
        <f t="shared" si="9"/>
        <v/>
      </c>
      <c r="R109" s="128" t="str">
        <f t="shared" si="10"/>
        <v/>
      </c>
      <c r="S109" s="109"/>
      <c r="T109" s="104"/>
      <c r="U109" s="104"/>
      <c r="V109" s="104"/>
      <c r="W109" s="104"/>
      <c r="Y109"/>
    </row>
    <row r="110" spans="1:30" s="47" customFormat="1" x14ac:dyDescent="0.3">
      <c r="A110" s="49">
        <v>444</v>
      </c>
      <c r="B110" s="70"/>
      <c r="C110" s="70"/>
      <c r="D110" s="70" t="str">
        <f t="shared" si="12"/>
        <v/>
      </c>
      <c r="E110" s="70"/>
      <c r="F110" s="70"/>
      <c r="G110" s="70"/>
      <c r="H110" s="71"/>
      <c r="I110" s="45">
        <v>-25.6</v>
      </c>
      <c r="J110" s="33" t="s">
        <v>11</v>
      </c>
      <c r="K110" s="46" t="e">
        <f t="shared" si="7"/>
        <v>#DIV/0!</v>
      </c>
      <c r="L110" s="32" t="e">
        <v>#VALUE!</v>
      </c>
      <c r="M110" s="32" t="e">
        <v>#VALUE!</v>
      </c>
      <c r="N110" s="32">
        <v>0</v>
      </c>
      <c r="O110" s="32" t="e">
        <v>#DIV/0!</v>
      </c>
      <c r="P110" s="128" t="str">
        <f t="shared" si="8"/>
        <v/>
      </c>
      <c r="Q110" s="128" t="str">
        <f t="shared" si="9"/>
        <v/>
      </c>
      <c r="R110" s="128" t="str">
        <f t="shared" si="10"/>
        <v/>
      </c>
      <c r="S110" s="109"/>
      <c r="T110" s="104"/>
      <c r="U110" s="104"/>
      <c r="V110" s="104"/>
      <c r="W110" s="104"/>
      <c r="Y110"/>
    </row>
    <row r="111" spans="1:30" s="47" customFormat="1" x14ac:dyDescent="0.3">
      <c r="A111" s="49">
        <v>445</v>
      </c>
      <c r="B111" s="70">
        <v>-30.5</v>
      </c>
      <c r="C111" s="70">
        <v>-28.5</v>
      </c>
      <c r="D111" s="70">
        <v>-28.2</v>
      </c>
      <c r="E111" s="70">
        <v>-27.6</v>
      </c>
      <c r="F111" s="70"/>
      <c r="G111" s="70"/>
      <c r="H111" s="71">
        <v>-30.2</v>
      </c>
      <c r="I111" s="45">
        <v>-26.8</v>
      </c>
      <c r="J111" s="33" t="s">
        <v>11</v>
      </c>
      <c r="K111" s="46">
        <f t="shared" si="7"/>
        <v>-28.700000000000003</v>
      </c>
      <c r="L111" s="32">
        <v>0.59999999999999787</v>
      </c>
      <c r="M111" s="32">
        <v>0.30000000000000071</v>
      </c>
      <c r="N111" s="32">
        <v>2</v>
      </c>
      <c r="O111" s="32">
        <v>1.6000000000000014</v>
      </c>
      <c r="P111" s="128">
        <f t="shared" si="8"/>
        <v>2.3000000000000007</v>
      </c>
      <c r="Q111" s="128">
        <f t="shared" si="9"/>
        <v>0.30000000000000071</v>
      </c>
      <c r="R111" s="128">
        <f t="shared" si="10"/>
        <v>1.3000000000000007</v>
      </c>
      <c r="S111" s="109">
        <v>0</v>
      </c>
      <c r="T111" s="104">
        <v>0</v>
      </c>
      <c r="U111" s="104">
        <v>0</v>
      </c>
      <c r="V111" s="104">
        <v>0</v>
      </c>
      <c r="W111" s="104">
        <v>1</v>
      </c>
      <c r="X111" s="47" t="s">
        <v>16</v>
      </c>
      <c r="Y111"/>
    </row>
    <row r="112" spans="1:30" s="131" customFormat="1" x14ac:dyDescent="0.3">
      <c r="A112" s="134">
        <v>446</v>
      </c>
      <c r="B112" s="138">
        <v>-30.3</v>
      </c>
      <c r="C112" s="138">
        <v>-28.9</v>
      </c>
      <c r="D112" s="138">
        <v>-28.1</v>
      </c>
      <c r="E112" s="138">
        <v>-27.2</v>
      </c>
      <c r="F112" s="138"/>
      <c r="G112" s="138"/>
      <c r="H112" s="139">
        <v>-30</v>
      </c>
      <c r="I112" s="125">
        <v>-27</v>
      </c>
      <c r="J112" s="127" t="s">
        <v>11</v>
      </c>
      <c r="K112" s="128">
        <f t="shared" si="7"/>
        <v>-28.625000000000004</v>
      </c>
      <c r="L112" s="128">
        <v>0.90000000000000213</v>
      </c>
      <c r="M112" s="128">
        <v>0.79999999999999716</v>
      </c>
      <c r="N112" s="128">
        <v>1.4000000000000021</v>
      </c>
      <c r="O112" s="128">
        <v>1.9500000000000028</v>
      </c>
      <c r="P112" s="128">
        <f t="shared" si="8"/>
        <v>2.1999999999999993</v>
      </c>
      <c r="Q112" s="128">
        <f t="shared" si="9"/>
        <v>0.79999999999999716</v>
      </c>
      <c r="R112" s="128">
        <f t="shared" si="10"/>
        <v>1.5</v>
      </c>
      <c r="S112" s="137">
        <v>0</v>
      </c>
      <c r="T112" s="130">
        <v>0</v>
      </c>
      <c r="U112" s="130">
        <v>0</v>
      </c>
      <c r="V112" s="130">
        <v>0</v>
      </c>
      <c r="W112" s="130">
        <v>0</v>
      </c>
      <c r="X112" s="131" t="s">
        <v>16</v>
      </c>
    </row>
    <row r="113" spans="1:30" s="47" customFormat="1" x14ac:dyDescent="0.3">
      <c r="A113" s="49">
        <v>447</v>
      </c>
      <c r="B113" s="70"/>
      <c r="C113" s="70"/>
      <c r="D113" s="70" t="str">
        <f t="shared" ref="D113:D114" si="13">IF(AND(ISBLANK(F113),ISBLANK(G113)),"",IF(ISBLANK(F113),G113,IF(ISBLANK(G113),F113,(G113+F113)/2)))</f>
        <v/>
      </c>
      <c r="E113" s="70"/>
      <c r="F113" s="70"/>
      <c r="G113" s="70"/>
      <c r="H113" s="71"/>
      <c r="I113" s="45">
        <v>-24.4</v>
      </c>
      <c r="J113" s="33" t="s">
        <v>11</v>
      </c>
      <c r="K113" s="46" t="e">
        <f t="shared" si="7"/>
        <v>#DIV/0!</v>
      </c>
      <c r="L113" s="32" t="e">
        <v>#VALUE!</v>
      </c>
      <c r="M113" s="32" t="e">
        <v>#VALUE!</v>
      </c>
      <c r="N113" s="32">
        <v>0</v>
      </c>
      <c r="O113" s="32" t="e">
        <v>#DIV/0!</v>
      </c>
      <c r="P113" s="128" t="str">
        <f t="shared" si="8"/>
        <v/>
      </c>
      <c r="Q113" s="128" t="str">
        <f t="shared" si="9"/>
        <v/>
      </c>
      <c r="R113" s="128" t="str">
        <f t="shared" si="10"/>
        <v/>
      </c>
      <c r="S113" s="109"/>
      <c r="T113" s="104"/>
      <c r="U113" s="104"/>
      <c r="V113" s="104"/>
      <c r="W113" s="104"/>
      <c r="Y113"/>
    </row>
    <row r="114" spans="1:30" s="47" customFormat="1" x14ac:dyDescent="0.3">
      <c r="A114" s="49">
        <v>448</v>
      </c>
      <c r="B114" s="70"/>
      <c r="C114" s="70"/>
      <c r="D114" s="70" t="str">
        <f t="shared" si="13"/>
        <v/>
      </c>
      <c r="E114" s="70"/>
      <c r="F114" s="70"/>
      <c r="G114" s="70"/>
      <c r="H114" s="71"/>
      <c r="I114" s="45">
        <v>-25.6</v>
      </c>
      <c r="J114" s="33" t="s">
        <v>11</v>
      </c>
      <c r="K114" s="46" t="e">
        <f t="shared" si="7"/>
        <v>#DIV/0!</v>
      </c>
      <c r="L114" s="32" t="e">
        <v>#VALUE!</v>
      </c>
      <c r="M114" s="32" t="e">
        <v>#VALUE!</v>
      </c>
      <c r="N114" s="32">
        <v>0</v>
      </c>
      <c r="O114" s="32" t="e">
        <v>#DIV/0!</v>
      </c>
      <c r="P114" s="128" t="str">
        <f t="shared" si="8"/>
        <v/>
      </c>
      <c r="Q114" s="128" t="str">
        <f t="shared" si="9"/>
        <v/>
      </c>
      <c r="R114" s="128" t="str">
        <f t="shared" si="10"/>
        <v/>
      </c>
      <c r="S114" s="109"/>
      <c r="T114" s="104"/>
      <c r="U114" s="104"/>
      <c r="V114" s="104"/>
      <c r="W114" s="104"/>
      <c r="Y114"/>
    </row>
    <row r="115" spans="1:30" x14ac:dyDescent="0.3">
      <c r="A115" s="10">
        <v>449</v>
      </c>
      <c r="B115" s="13">
        <v>-28.2</v>
      </c>
      <c r="C115" s="13">
        <v>-27.7</v>
      </c>
      <c r="D115" s="13">
        <v>-27.1</v>
      </c>
      <c r="E115" s="13">
        <v>-26.7</v>
      </c>
      <c r="F115" s="13"/>
      <c r="G115" s="13"/>
      <c r="H115" s="14">
        <v>-28.1</v>
      </c>
      <c r="I115" s="8">
        <v>-24.8</v>
      </c>
      <c r="J115" s="33" t="s">
        <v>11</v>
      </c>
      <c r="K115" s="32">
        <f t="shared" si="7"/>
        <v>-27.425000000000001</v>
      </c>
      <c r="L115" s="32">
        <v>0.40000000000000213</v>
      </c>
      <c r="M115" s="32">
        <v>0.59999999999999787</v>
      </c>
      <c r="N115" s="32">
        <v>0.5</v>
      </c>
      <c r="O115" s="32">
        <v>1.0500000000000007</v>
      </c>
      <c r="P115" s="128">
        <f t="shared" si="8"/>
        <v>1.0999999999999979</v>
      </c>
      <c r="Q115" s="128">
        <f t="shared" si="9"/>
        <v>0.59999999999999787</v>
      </c>
      <c r="R115" s="128">
        <f t="shared" si="10"/>
        <v>0.84999999999999787</v>
      </c>
      <c r="S115" s="110">
        <v>0</v>
      </c>
      <c r="T115" s="99">
        <v>0</v>
      </c>
      <c r="U115" s="99">
        <v>0</v>
      </c>
      <c r="V115" s="99">
        <v>0</v>
      </c>
      <c r="W115" s="99">
        <v>0</v>
      </c>
      <c r="X115" t="s">
        <v>16</v>
      </c>
      <c r="AC115"/>
      <c r="AD115"/>
    </row>
    <row r="116" spans="1:30" s="131" customFormat="1" x14ac:dyDescent="0.3">
      <c r="A116" s="134">
        <v>450</v>
      </c>
      <c r="B116" s="138">
        <v>-28</v>
      </c>
      <c r="C116" s="138">
        <v>-27.8</v>
      </c>
      <c r="D116" s="138">
        <v>-27</v>
      </c>
      <c r="E116" s="138">
        <v>-26</v>
      </c>
      <c r="F116" s="138"/>
      <c r="G116" s="138"/>
      <c r="H116" s="139">
        <v>-27.8</v>
      </c>
      <c r="I116" s="125">
        <v>-24.6</v>
      </c>
      <c r="J116" s="127" t="s">
        <v>11</v>
      </c>
      <c r="K116" s="128">
        <f t="shared" si="7"/>
        <v>-27.2</v>
      </c>
      <c r="L116" s="128">
        <v>1</v>
      </c>
      <c r="M116" s="128">
        <v>0.80000000000000071</v>
      </c>
      <c r="N116" s="128">
        <v>0.19999999999999929</v>
      </c>
      <c r="O116" s="128">
        <v>1.3999999999999986</v>
      </c>
      <c r="P116" s="128">
        <f t="shared" si="8"/>
        <v>1</v>
      </c>
      <c r="Q116" s="128">
        <f t="shared" si="9"/>
        <v>0.80000000000000071</v>
      </c>
      <c r="R116" s="128">
        <f t="shared" si="10"/>
        <v>0.89999999999999858</v>
      </c>
      <c r="S116" s="137">
        <v>0</v>
      </c>
      <c r="T116" s="130">
        <v>0</v>
      </c>
      <c r="U116" s="130">
        <v>0</v>
      </c>
      <c r="V116" s="130">
        <v>0</v>
      </c>
      <c r="W116" s="130">
        <v>0</v>
      </c>
      <c r="X116" s="131" t="s">
        <v>16</v>
      </c>
    </row>
    <row r="117" spans="1:30" s="47" customFormat="1" x14ac:dyDescent="0.3">
      <c r="A117" s="49">
        <v>451</v>
      </c>
      <c r="B117" s="70"/>
      <c r="C117" s="70"/>
      <c r="D117" s="70" t="str">
        <f t="shared" ref="D117:D119" si="14">IF(AND(ISBLANK(F117),ISBLANK(G117)),"",IF(ISBLANK(F117),G117,IF(ISBLANK(G117),F117,(G117+F117)/2)))</f>
        <v/>
      </c>
      <c r="E117" s="70"/>
      <c r="F117" s="70"/>
      <c r="G117" s="70"/>
      <c r="H117" s="71"/>
      <c r="I117" s="45">
        <v>-26.7</v>
      </c>
      <c r="J117" s="33" t="s">
        <v>11</v>
      </c>
      <c r="K117" s="46" t="e">
        <f t="shared" si="7"/>
        <v>#DIV/0!</v>
      </c>
      <c r="L117" s="32" t="e">
        <v>#VALUE!</v>
      </c>
      <c r="M117" s="32" t="e">
        <v>#VALUE!</v>
      </c>
      <c r="N117" s="32">
        <v>0</v>
      </c>
      <c r="O117" s="32" t="e">
        <v>#DIV/0!</v>
      </c>
      <c r="P117" s="128" t="str">
        <f t="shared" si="8"/>
        <v/>
      </c>
      <c r="Q117" s="128" t="str">
        <f t="shared" si="9"/>
        <v/>
      </c>
      <c r="R117" s="128" t="str">
        <f t="shared" si="10"/>
        <v/>
      </c>
      <c r="S117" s="109"/>
      <c r="T117" s="104"/>
      <c r="U117" s="104"/>
      <c r="V117" s="104"/>
      <c r="W117" s="104"/>
      <c r="Y117"/>
    </row>
    <row r="118" spans="1:30" s="47" customFormat="1" x14ac:dyDescent="0.3">
      <c r="A118" s="49">
        <v>452</v>
      </c>
      <c r="B118" s="70"/>
      <c r="C118" s="70"/>
      <c r="D118" s="70" t="str">
        <f t="shared" si="14"/>
        <v/>
      </c>
      <c r="E118" s="70"/>
      <c r="F118" s="70"/>
      <c r="G118" s="70"/>
      <c r="H118" s="71"/>
      <c r="I118" s="45">
        <v>-25.7</v>
      </c>
      <c r="J118" s="33" t="s">
        <v>11</v>
      </c>
      <c r="K118" s="46" t="e">
        <f t="shared" si="7"/>
        <v>#DIV/0!</v>
      </c>
      <c r="L118" s="32" t="e">
        <v>#VALUE!</v>
      </c>
      <c r="M118" s="32" t="e">
        <v>#VALUE!</v>
      </c>
      <c r="N118" s="32">
        <v>0</v>
      </c>
      <c r="O118" s="32" t="e">
        <v>#DIV/0!</v>
      </c>
      <c r="P118" s="128" t="str">
        <f t="shared" si="8"/>
        <v/>
      </c>
      <c r="Q118" s="128" t="str">
        <f t="shared" si="9"/>
        <v/>
      </c>
      <c r="R118" s="128" t="str">
        <f t="shared" si="10"/>
        <v/>
      </c>
      <c r="S118" s="109"/>
      <c r="T118" s="104"/>
      <c r="U118" s="104"/>
      <c r="V118" s="104"/>
      <c r="W118" s="104"/>
      <c r="Y118"/>
    </row>
    <row r="119" spans="1:30" s="47" customFormat="1" x14ac:dyDescent="0.3">
      <c r="A119" s="49">
        <v>453</v>
      </c>
      <c r="B119" s="70"/>
      <c r="C119" s="70"/>
      <c r="D119" s="70" t="str">
        <f t="shared" si="14"/>
        <v/>
      </c>
      <c r="E119" s="70"/>
      <c r="F119" s="70"/>
      <c r="G119" s="70"/>
      <c r="H119" s="71"/>
      <c r="I119" s="45">
        <v>-24.7</v>
      </c>
      <c r="J119" s="33" t="s">
        <v>11</v>
      </c>
      <c r="K119" s="46" t="e">
        <f t="shared" si="7"/>
        <v>#DIV/0!</v>
      </c>
      <c r="L119" s="32" t="e">
        <v>#VALUE!</v>
      </c>
      <c r="M119" s="32" t="e">
        <v>#VALUE!</v>
      </c>
      <c r="N119" s="32">
        <v>0</v>
      </c>
      <c r="O119" s="32" t="e">
        <v>#DIV/0!</v>
      </c>
      <c r="P119" s="128" t="str">
        <f t="shared" si="8"/>
        <v/>
      </c>
      <c r="Q119" s="128" t="str">
        <f t="shared" si="9"/>
        <v/>
      </c>
      <c r="R119" s="128" t="str">
        <f t="shared" si="10"/>
        <v/>
      </c>
      <c r="S119" s="109"/>
      <c r="T119" s="104"/>
      <c r="U119" s="104"/>
      <c r="V119" s="104"/>
      <c r="W119" s="104"/>
      <c r="Y119"/>
    </row>
    <row r="120" spans="1:30" x14ac:dyDescent="0.3">
      <c r="A120" s="10">
        <v>454</v>
      </c>
      <c r="B120" s="13">
        <v>-29.7</v>
      </c>
      <c r="C120" s="13">
        <v>-27.7</v>
      </c>
      <c r="D120" s="13">
        <v>-29.1</v>
      </c>
      <c r="E120" s="13">
        <v>-29.4</v>
      </c>
      <c r="F120" s="13"/>
      <c r="G120" s="13"/>
      <c r="H120" s="14">
        <v>-29.5</v>
      </c>
      <c r="I120" s="8">
        <v>-27.3</v>
      </c>
      <c r="J120" s="33" t="s">
        <v>18</v>
      </c>
      <c r="K120" s="32">
        <f t="shared" si="7"/>
        <v>-28.975000000000001</v>
      </c>
      <c r="L120" s="32">
        <v>-0.29999999999999716</v>
      </c>
      <c r="M120" s="32">
        <v>-1.4000000000000021</v>
      </c>
      <c r="N120" s="32">
        <v>2</v>
      </c>
      <c r="O120" s="32">
        <v>-0.55000000000000071</v>
      </c>
      <c r="P120" s="128">
        <f t="shared" si="8"/>
        <v>0.30000000000000071</v>
      </c>
      <c r="Q120" s="128">
        <f t="shared" si="9"/>
        <v>-1.6999999999999993</v>
      </c>
      <c r="R120" s="128">
        <f t="shared" si="10"/>
        <v>-0.69999999999999929</v>
      </c>
      <c r="S120" s="110">
        <v>0</v>
      </c>
      <c r="T120" s="99">
        <v>0</v>
      </c>
      <c r="U120" s="99">
        <v>0</v>
      </c>
      <c r="V120" s="99">
        <v>0</v>
      </c>
      <c r="W120" s="99">
        <v>0</v>
      </c>
      <c r="X120" t="s">
        <v>16</v>
      </c>
      <c r="AC120"/>
      <c r="AD120"/>
    </row>
    <row r="121" spans="1:30" s="47" customFormat="1" x14ac:dyDescent="0.3">
      <c r="A121" s="49">
        <v>455</v>
      </c>
      <c r="B121" s="70"/>
      <c r="C121" s="70"/>
      <c r="D121" s="70" t="str">
        <f t="shared" ref="D121:D122" si="15">IF(AND(ISBLANK(F121),ISBLANK(G121)),"",IF(ISBLANK(F121),G121,IF(ISBLANK(G121),F121,(G121+F121)/2)))</f>
        <v/>
      </c>
      <c r="E121" s="70"/>
      <c r="F121" s="70"/>
      <c r="G121" s="70"/>
      <c r="H121" s="71"/>
      <c r="I121" s="45">
        <v>-27.1</v>
      </c>
      <c r="J121" s="33" t="s">
        <v>11</v>
      </c>
      <c r="K121" s="46" t="e">
        <f t="shared" si="7"/>
        <v>#DIV/0!</v>
      </c>
      <c r="L121" s="32" t="e">
        <v>#VALUE!</v>
      </c>
      <c r="M121" s="32" t="e">
        <v>#VALUE!</v>
      </c>
      <c r="N121" s="32">
        <v>0</v>
      </c>
      <c r="O121" s="32" t="e">
        <v>#DIV/0!</v>
      </c>
      <c r="P121" s="128" t="str">
        <f t="shared" si="8"/>
        <v/>
      </c>
      <c r="Q121" s="128" t="str">
        <f t="shared" si="9"/>
        <v/>
      </c>
      <c r="R121" s="128" t="str">
        <f t="shared" si="10"/>
        <v/>
      </c>
      <c r="S121" s="109"/>
      <c r="T121" s="104"/>
      <c r="U121" s="104"/>
      <c r="V121" s="104"/>
      <c r="W121" s="104"/>
      <c r="Y121"/>
    </row>
    <row r="122" spans="1:30" s="47" customFormat="1" x14ac:dyDescent="0.3">
      <c r="A122" s="49">
        <v>456</v>
      </c>
      <c r="B122" s="70"/>
      <c r="C122" s="70"/>
      <c r="D122" s="70" t="str">
        <f t="shared" si="15"/>
        <v/>
      </c>
      <c r="E122" s="70"/>
      <c r="F122" s="70"/>
      <c r="G122" s="70"/>
      <c r="H122" s="71"/>
      <c r="I122" s="45">
        <v>-29.7</v>
      </c>
      <c r="J122" s="33" t="s">
        <v>11</v>
      </c>
      <c r="K122" s="46" t="e">
        <f t="shared" si="7"/>
        <v>#DIV/0!</v>
      </c>
      <c r="L122" s="32" t="e">
        <v>#VALUE!</v>
      </c>
      <c r="M122" s="32" t="e">
        <v>#VALUE!</v>
      </c>
      <c r="N122" s="32">
        <v>0</v>
      </c>
      <c r="O122" s="32" t="e">
        <v>#DIV/0!</v>
      </c>
      <c r="P122" s="128" t="str">
        <f t="shared" si="8"/>
        <v/>
      </c>
      <c r="Q122" s="128" t="str">
        <f t="shared" si="9"/>
        <v/>
      </c>
      <c r="R122" s="128" t="str">
        <f t="shared" si="10"/>
        <v/>
      </c>
      <c r="S122" s="109"/>
      <c r="T122" s="104"/>
      <c r="U122" s="104"/>
      <c r="V122" s="104"/>
      <c r="W122" s="104"/>
      <c r="Y122"/>
    </row>
    <row r="123" spans="1:30" x14ac:dyDescent="0.3">
      <c r="A123" s="10">
        <v>457</v>
      </c>
      <c r="B123" s="13">
        <v>-28</v>
      </c>
      <c r="C123" s="13">
        <v>-27</v>
      </c>
      <c r="D123" s="13">
        <v>-28.2</v>
      </c>
      <c r="E123" s="13">
        <v>-26.4</v>
      </c>
      <c r="F123" s="13"/>
      <c r="G123" s="13"/>
      <c r="H123" s="14">
        <v>-27.9</v>
      </c>
      <c r="I123" s="8">
        <v>-26.2</v>
      </c>
      <c r="J123" s="33" t="s">
        <v>11</v>
      </c>
      <c r="K123" s="32">
        <f t="shared" si="7"/>
        <v>-27.4</v>
      </c>
      <c r="L123" s="32">
        <v>1.8000000000000007</v>
      </c>
      <c r="M123" s="32">
        <v>-1.1999999999999993</v>
      </c>
      <c r="N123" s="32">
        <v>1</v>
      </c>
      <c r="O123" s="32">
        <v>0.20000000000000284</v>
      </c>
      <c r="P123" s="128">
        <f t="shared" si="8"/>
        <v>-0.19999999999999929</v>
      </c>
      <c r="Q123" s="128">
        <f t="shared" si="9"/>
        <v>-1.1999999999999993</v>
      </c>
      <c r="R123" s="128">
        <f t="shared" si="10"/>
        <v>-0.69999999999999929</v>
      </c>
      <c r="S123" s="110">
        <v>1</v>
      </c>
      <c r="T123" s="99">
        <v>0</v>
      </c>
      <c r="U123" s="99">
        <v>0</v>
      </c>
      <c r="V123" s="99">
        <v>0</v>
      </c>
      <c r="W123" s="99">
        <v>0</v>
      </c>
      <c r="X123" t="s">
        <v>16</v>
      </c>
      <c r="AC123"/>
      <c r="AD123"/>
    </row>
    <row r="124" spans="1:30" s="47" customFormat="1" x14ac:dyDescent="0.3">
      <c r="A124" s="49">
        <v>458</v>
      </c>
      <c r="B124" s="70"/>
      <c r="C124" s="70"/>
      <c r="D124" s="70" t="str">
        <f>IF(AND(ISBLANK(F124),ISBLANK(G124)),"",IF(ISBLANK(F124),G124,IF(ISBLANK(G124),F124,(G124+F124)/2)))</f>
        <v/>
      </c>
      <c r="E124" s="70"/>
      <c r="F124" s="70"/>
      <c r="G124" s="70"/>
      <c r="H124" s="71"/>
      <c r="I124" s="45">
        <v>-28.4</v>
      </c>
      <c r="J124" s="33" t="s">
        <v>11</v>
      </c>
      <c r="K124" s="46" t="e">
        <f t="shared" si="7"/>
        <v>#DIV/0!</v>
      </c>
      <c r="L124" s="32" t="e">
        <v>#VALUE!</v>
      </c>
      <c r="M124" s="32" t="e">
        <v>#VALUE!</v>
      </c>
      <c r="N124" s="32">
        <v>0</v>
      </c>
      <c r="O124" s="32" t="e">
        <v>#DIV/0!</v>
      </c>
      <c r="P124" s="128" t="str">
        <f t="shared" si="8"/>
        <v/>
      </c>
      <c r="Q124" s="128" t="str">
        <f t="shared" si="9"/>
        <v/>
      </c>
      <c r="R124" s="128" t="str">
        <f t="shared" si="10"/>
        <v/>
      </c>
      <c r="S124" s="109"/>
      <c r="T124" s="104"/>
      <c r="U124" s="104"/>
      <c r="V124" s="104"/>
      <c r="W124" s="104"/>
      <c r="Y124"/>
    </row>
    <row r="125" spans="1:30" x14ac:dyDescent="0.3">
      <c r="A125" s="10">
        <v>459</v>
      </c>
      <c r="B125" s="13">
        <v>-27.4</v>
      </c>
      <c r="C125" s="13">
        <v>-26.8</v>
      </c>
      <c r="D125" s="13">
        <v>-27.3</v>
      </c>
      <c r="E125" s="13">
        <v>-26.7</v>
      </c>
      <c r="F125" s="13"/>
      <c r="G125" s="13"/>
      <c r="H125" s="14">
        <v>-27</v>
      </c>
      <c r="I125" s="8">
        <v>-25.6</v>
      </c>
      <c r="J125" s="33" t="s">
        <v>11</v>
      </c>
      <c r="K125" s="32">
        <f t="shared" si="7"/>
        <v>-27.05</v>
      </c>
      <c r="L125" s="32">
        <v>0.60000000000000142</v>
      </c>
      <c r="M125" s="32">
        <v>-0.5</v>
      </c>
      <c r="N125" s="32">
        <v>0.59999999999999787</v>
      </c>
      <c r="O125" s="32">
        <v>0.10000000000000142</v>
      </c>
      <c r="P125" s="128">
        <f t="shared" si="8"/>
        <v>9.9999999999997868E-2</v>
      </c>
      <c r="Q125" s="128">
        <f t="shared" si="9"/>
        <v>-0.5</v>
      </c>
      <c r="R125" s="128">
        <f t="shared" si="10"/>
        <v>-0.19999999999999929</v>
      </c>
      <c r="S125" s="110">
        <v>1</v>
      </c>
      <c r="T125" s="99">
        <v>0</v>
      </c>
      <c r="U125" s="99">
        <v>0</v>
      </c>
      <c r="V125" s="99">
        <v>0</v>
      </c>
      <c r="W125" s="99">
        <v>0</v>
      </c>
      <c r="X125" t="s">
        <v>16</v>
      </c>
      <c r="AC125"/>
      <c r="AD125"/>
    </row>
    <row r="126" spans="1:30" x14ac:dyDescent="0.3">
      <c r="A126" s="10">
        <v>460</v>
      </c>
      <c r="B126" s="13">
        <v>-28.3</v>
      </c>
      <c r="C126" s="13">
        <v>-28.1</v>
      </c>
      <c r="D126" s="13">
        <v>-27.8</v>
      </c>
      <c r="E126" s="13">
        <v>-26.5</v>
      </c>
      <c r="F126" s="13"/>
      <c r="G126" s="13"/>
      <c r="H126" s="14">
        <v>-27.9</v>
      </c>
      <c r="I126" s="8">
        <v>-25.2</v>
      </c>
      <c r="J126" s="33" t="s">
        <v>11</v>
      </c>
      <c r="K126" s="32">
        <f t="shared" si="7"/>
        <v>-27.675000000000001</v>
      </c>
      <c r="L126" s="32">
        <v>1.3000000000000007</v>
      </c>
      <c r="M126" s="32">
        <v>0.30000000000000071</v>
      </c>
      <c r="N126" s="32">
        <v>0.19999999999999929</v>
      </c>
      <c r="O126" s="32">
        <v>1.0500000000000043</v>
      </c>
      <c r="P126" s="128">
        <f t="shared" si="8"/>
        <v>0.5</v>
      </c>
      <c r="Q126" s="128">
        <f t="shared" si="9"/>
        <v>0.30000000000000071</v>
      </c>
      <c r="R126" s="128">
        <f t="shared" si="10"/>
        <v>0.40000000000000213</v>
      </c>
      <c r="S126" s="110">
        <v>0</v>
      </c>
      <c r="T126" s="99">
        <v>0</v>
      </c>
      <c r="U126" s="99">
        <v>0</v>
      </c>
      <c r="V126" s="99">
        <v>0</v>
      </c>
      <c r="W126" s="99">
        <v>0</v>
      </c>
      <c r="X126" t="s">
        <v>16</v>
      </c>
      <c r="AC126"/>
      <c r="AD126"/>
    </row>
    <row r="127" spans="1:30" x14ac:dyDescent="0.3">
      <c r="A127" s="10">
        <v>461</v>
      </c>
      <c r="B127" s="13">
        <v>-27.4</v>
      </c>
      <c r="C127" s="13">
        <v>-26.3</v>
      </c>
      <c r="D127" s="13">
        <v>-27.6</v>
      </c>
      <c r="E127" s="13">
        <v>-25.9</v>
      </c>
      <c r="F127" s="13"/>
      <c r="G127" s="13"/>
      <c r="H127" s="14">
        <v>-27</v>
      </c>
      <c r="I127" s="8">
        <v>-24.8</v>
      </c>
      <c r="J127" s="33" t="s">
        <v>11</v>
      </c>
      <c r="K127" s="32">
        <f t="shared" si="7"/>
        <v>-26.800000000000004</v>
      </c>
      <c r="L127" s="32">
        <v>1.7000000000000028</v>
      </c>
      <c r="M127" s="32">
        <v>-1.3000000000000007</v>
      </c>
      <c r="N127" s="32">
        <v>1.0999999999999979</v>
      </c>
      <c r="O127" s="32">
        <v>0.10000000000000142</v>
      </c>
      <c r="P127" s="128">
        <f t="shared" si="8"/>
        <v>-0.20000000000000284</v>
      </c>
      <c r="Q127" s="128">
        <f t="shared" si="9"/>
        <v>-1.3000000000000007</v>
      </c>
      <c r="R127" s="128">
        <f t="shared" si="10"/>
        <v>-0.75</v>
      </c>
      <c r="S127" s="110">
        <v>1</v>
      </c>
      <c r="T127" s="99">
        <v>0</v>
      </c>
      <c r="U127" s="99">
        <v>0</v>
      </c>
      <c r="V127" s="99">
        <v>0</v>
      </c>
      <c r="W127" s="99">
        <v>0</v>
      </c>
      <c r="X127" t="s">
        <v>16</v>
      </c>
      <c r="AC127"/>
      <c r="AD127"/>
    </row>
    <row r="128" spans="1:30" s="47" customFormat="1" x14ac:dyDescent="0.3">
      <c r="A128" s="49">
        <v>462</v>
      </c>
      <c r="B128" s="70"/>
      <c r="C128" s="70"/>
      <c r="D128" s="70" t="str">
        <f>IF(AND(ISBLANK(F128),ISBLANK(G128)),"",IF(ISBLANK(F128),G128,IF(ISBLANK(G128),F128,(G128+F128)/2)))</f>
        <v/>
      </c>
      <c r="E128" s="70"/>
      <c r="F128" s="70"/>
      <c r="G128" s="70"/>
      <c r="H128" s="71"/>
      <c r="I128" s="45">
        <v>-24.5</v>
      </c>
      <c r="J128" s="33" t="s">
        <v>11</v>
      </c>
      <c r="K128" s="46" t="e">
        <f t="shared" si="7"/>
        <v>#DIV/0!</v>
      </c>
      <c r="L128" s="32" t="e">
        <v>#VALUE!</v>
      </c>
      <c r="M128" s="32" t="e">
        <v>#VALUE!</v>
      </c>
      <c r="N128" s="32">
        <v>0</v>
      </c>
      <c r="O128" s="32" t="e">
        <v>#DIV/0!</v>
      </c>
      <c r="P128" s="128" t="str">
        <f t="shared" si="8"/>
        <v/>
      </c>
      <c r="Q128" s="128" t="str">
        <f t="shared" si="9"/>
        <v/>
      </c>
      <c r="R128" s="128" t="str">
        <f t="shared" si="10"/>
        <v/>
      </c>
      <c r="S128" s="109"/>
      <c r="T128" s="104"/>
      <c r="U128" s="104"/>
      <c r="V128" s="104"/>
      <c r="W128" s="104"/>
      <c r="Y128"/>
    </row>
    <row r="129" spans="1:30" x14ac:dyDescent="0.3">
      <c r="A129" s="10">
        <v>463</v>
      </c>
      <c r="B129" s="13">
        <v>-27</v>
      </c>
      <c r="C129" s="13">
        <v>-26.2</v>
      </c>
      <c r="D129" s="13">
        <v>-26.9</v>
      </c>
      <c r="E129" s="13">
        <v>-25.6</v>
      </c>
      <c r="F129" s="13"/>
      <c r="G129" s="13"/>
      <c r="H129" s="14">
        <v>-26.7</v>
      </c>
      <c r="I129" s="8">
        <v>-25.2</v>
      </c>
      <c r="J129" s="33" t="s">
        <v>11</v>
      </c>
      <c r="K129" s="32">
        <f t="shared" si="7"/>
        <v>-26.424999999999997</v>
      </c>
      <c r="L129" s="32">
        <v>1.2999999999999972</v>
      </c>
      <c r="M129" s="32">
        <v>-0.69999999999999929</v>
      </c>
      <c r="N129" s="32">
        <v>0.80000000000000071</v>
      </c>
      <c r="O129" s="32">
        <v>0.35000000000000142</v>
      </c>
      <c r="P129" s="128">
        <f t="shared" si="8"/>
        <v>0.10000000000000142</v>
      </c>
      <c r="Q129" s="128">
        <f t="shared" si="9"/>
        <v>-0.69999999999999929</v>
      </c>
      <c r="R129" s="128">
        <f t="shared" si="10"/>
        <v>-0.29999999999999716</v>
      </c>
      <c r="S129" s="110">
        <v>1</v>
      </c>
      <c r="T129" s="99">
        <v>0</v>
      </c>
      <c r="U129" s="99">
        <v>0</v>
      </c>
      <c r="V129" s="99">
        <v>0</v>
      </c>
      <c r="W129" s="99">
        <v>0</v>
      </c>
      <c r="X129" t="s">
        <v>16</v>
      </c>
      <c r="AC129"/>
      <c r="AD129"/>
    </row>
    <row r="130" spans="1:30" x14ac:dyDescent="0.3">
      <c r="A130" s="10">
        <v>464</v>
      </c>
      <c r="B130" s="13">
        <v>-27.6</v>
      </c>
      <c r="C130" s="13">
        <v>-27</v>
      </c>
      <c r="D130" s="13">
        <v>-28.3</v>
      </c>
      <c r="E130" s="13">
        <v>-28</v>
      </c>
      <c r="F130" s="13"/>
      <c r="G130" s="13"/>
      <c r="H130" s="14">
        <v>-27.7</v>
      </c>
      <c r="I130" s="8">
        <v>-25.7</v>
      </c>
      <c r="J130" s="33" t="s">
        <v>11</v>
      </c>
      <c r="K130" s="32">
        <f t="shared" ref="K130:K193" si="16">AVERAGE(B130:G130)</f>
        <v>-27.725000000000001</v>
      </c>
      <c r="L130" s="32">
        <v>0.30000000000000071</v>
      </c>
      <c r="M130" s="32">
        <v>-1.3000000000000007</v>
      </c>
      <c r="N130" s="32">
        <v>0.60000000000000142</v>
      </c>
      <c r="O130" s="32">
        <v>-0.84999999999999787</v>
      </c>
      <c r="P130" s="128">
        <f t="shared" si="8"/>
        <v>-0.69999999999999929</v>
      </c>
      <c r="Q130" s="128">
        <f t="shared" si="9"/>
        <v>-1.3000000000000007</v>
      </c>
      <c r="R130" s="128">
        <f t="shared" si="10"/>
        <v>-1</v>
      </c>
      <c r="S130" s="110">
        <v>1</v>
      </c>
      <c r="T130" s="99">
        <v>0</v>
      </c>
      <c r="U130" s="99">
        <v>0</v>
      </c>
      <c r="V130" s="99">
        <v>0</v>
      </c>
      <c r="W130" s="99">
        <v>0</v>
      </c>
      <c r="X130" t="s">
        <v>16</v>
      </c>
      <c r="AC130"/>
      <c r="AD130"/>
    </row>
    <row r="131" spans="1:30" s="47" customFormat="1" x14ac:dyDescent="0.3">
      <c r="A131" s="49">
        <v>465</v>
      </c>
      <c r="B131" s="44">
        <v>-29.976261044625883</v>
      </c>
      <c r="C131" s="45">
        <v>-29.966184990493236</v>
      </c>
      <c r="D131" s="50" t="str">
        <f t="shared" ref="D131:D162" si="17">IF(AND(ISBLANK(F131),ISBLANK(G131)),"",IF(ISBLANK(F131),G131,IF(ISBLANK(G131),F131,(G131+F131)/2)))</f>
        <v/>
      </c>
      <c r="E131" s="44">
        <v>-29.049264064422324</v>
      </c>
      <c r="F131" s="41"/>
      <c r="G131" s="41"/>
      <c r="H131" s="41"/>
      <c r="I131" s="41"/>
      <c r="J131" s="10" t="s">
        <v>18</v>
      </c>
      <c r="K131" s="46">
        <f t="shared" si="16"/>
        <v>-29.663903366513818</v>
      </c>
      <c r="L131" s="32" t="e">
        <v>#VALUE!</v>
      </c>
      <c r="M131" s="32" t="e">
        <v>#VALUE!</v>
      </c>
      <c r="N131" s="32">
        <v>1.0076054132646561E-2</v>
      </c>
      <c r="O131" s="32">
        <v>0.92195895313723497</v>
      </c>
      <c r="P131" s="128" t="str">
        <f t="shared" ref="P131:P194" si="18">IF(OR(E131="", D131="", B131="", C131=""), "", MIN(E131,D131)-MIN(B131,C131))</f>
        <v/>
      </c>
      <c r="Q131" s="128" t="str">
        <f t="shared" ref="Q131:Q194" si="19">IF(OR(E131="", D131="", B131="", C131=""), "", MIN(E131,D131)-MAX(B131,C131))</f>
        <v/>
      </c>
      <c r="R131" s="128" t="str">
        <f t="shared" ref="R131:R194" si="20">IF(OR(E131="", D131="", B131="", C131=""), "", MIN(E131,D131)-AVERAGE(B131,C131))</f>
        <v/>
      </c>
      <c r="S131" s="109"/>
      <c r="T131" s="104">
        <v>0</v>
      </c>
      <c r="U131" s="104">
        <v>0</v>
      </c>
      <c r="V131" s="104">
        <v>0</v>
      </c>
      <c r="W131" s="104"/>
      <c r="Y131"/>
    </row>
    <row r="132" spans="1:30" s="47" customFormat="1" x14ac:dyDescent="0.3">
      <c r="A132" s="49">
        <v>466</v>
      </c>
      <c r="B132" s="44">
        <v>-29.079492226820268</v>
      </c>
      <c r="C132" s="45">
        <v>-27.598312269321109</v>
      </c>
      <c r="D132" s="50" t="str">
        <f t="shared" si="17"/>
        <v/>
      </c>
      <c r="E132" s="44">
        <v>-25.673785929985463</v>
      </c>
      <c r="F132" s="41"/>
      <c r="G132" s="41"/>
      <c r="H132" s="41"/>
      <c r="I132" s="41"/>
      <c r="J132" s="10" t="s">
        <v>11</v>
      </c>
      <c r="K132" s="46">
        <f t="shared" si="16"/>
        <v>-27.450530142042282</v>
      </c>
      <c r="L132" s="32" t="e">
        <v>#VALUE!</v>
      </c>
      <c r="M132" s="32" t="e">
        <v>#VALUE!</v>
      </c>
      <c r="N132" s="32">
        <v>1.4811799574991582</v>
      </c>
      <c r="O132" s="32">
        <v>2.6651163180852251</v>
      </c>
      <c r="P132" s="128" t="str">
        <f t="shared" si="18"/>
        <v/>
      </c>
      <c r="Q132" s="128" t="str">
        <f t="shared" si="19"/>
        <v/>
      </c>
      <c r="R132" s="128" t="str">
        <f t="shared" si="20"/>
        <v/>
      </c>
      <c r="S132" s="109"/>
      <c r="T132" s="104">
        <v>0</v>
      </c>
      <c r="U132" s="104">
        <v>0</v>
      </c>
      <c r="V132" s="104">
        <v>0</v>
      </c>
      <c r="W132" s="104"/>
      <c r="Y132"/>
    </row>
    <row r="133" spans="1:30" s="47" customFormat="1" x14ac:dyDescent="0.3">
      <c r="A133" s="49">
        <v>467</v>
      </c>
      <c r="B133" s="44">
        <v>-29.583294933452638</v>
      </c>
      <c r="C133" s="45">
        <v>-28.656297953249084</v>
      </c>
      <c r="D133" s="50" t="str">
        <f t="shared" si="17"/>
        <v/>
      </c>
      <c r="E133" s="44">
        <v>-28.394320545800248</v>
      </c>
      <c r="F133" s="41"/>
      <c r="G133" s="41"/>
      <c r="H133" s="41"/>
      <c r="I133" s="41"/>
      <c r="J133" s="10" t="s">
        <v>18</v>
      </c>
      <c r="K133" s="46">
        <f t="shared" si="16"/>
        <v>-28.877971144167322</v>
      </c>
      <c r="L133" s="32" t="e">
        <v>#VALUE!</v>
      </c>
      <c r="M133" s="32" t="e">
        <v>#VALUE!</v>
      </c>
      <c r="N133" s="32">
        <v>0.9269969802035547</v>
      </c>
      <c r="O133" s="32">
        <v>0.72547589755061281</v>
      </c>
      <c r="P133" s="128" t="str">
        <f t="shared" si="18"/>
        <v/>
      </c>
      <c r="Q133" s="128" t="str">
        <f t="shared" si="19"/>
        <v/>
      </c>
      <c r="R133" s="128" t="str">
        <f t="shared" si="20"/>
        <v/>
      </c>
      <c r="S133" s="109"/>
      <c r="T133" s="104">
        <v>0</v>
      </c>
      <c r="U133" s="104">
        <v>0</v>
      </c>
      <c r="V133" s="104">
        <v>0</v>
      </c>
      <c r="W133" s="104"/>
      <c r="Y133"/>
    </row>
    <row r="134" spans="1:30" s="47" customFormat="1" x14ac:dyDescent="0.3">
      <c r="A134" s="49">
        <v>468</v>
      </c>
      <c r="B134" s="44">
        <v>-29.321317526003806</v>
      </c>
      <c r="C134" s="45">
        <v>-28.545461357789957</v>
      </c>
      <c r="D134" s="50" t="str">
        <f t="shared" si="17"/>
        <v/>
      </c>
      <c r="E134" s="44">
        <v>-27.265802482943744</v>
      </c>
      <c r="F134" s="41"/>
      <c r="G134" s="41"/>
      <c r="H134" s="41"/>
      <c r="I134" s="41"/>
      <c r="J134" s="10" t="s">
        <v>11</v>
      </c>
      <c r="K134" s="46">
        <f t="shared" si="16"/>
        <v>-28.377527122245837</v>
      </c>
      <c r="L134" s="32" t="e">
        <v>#VALUE!</v>
      </c>
      <c r="M134" s="32" t="e">
        <v>#VALUE!</v>
      </c>
      <c r="N134" s="32">
        <v>0.77585616821384917</v>
      </c>
      <c r="O134" s="32">
        <v>1.6675869589531374</v>
      </c>
      <c r="P134" s="128" t="str">
        <f t="shared" si="18"/>
        <v/>
      </c>
      <c r="Q134" s="128" t="str">
        <f t="shared" si="19"/>
        <v/>
      </c>
      <c r="R134" s="128" t="str">
        <f t="shared" si="20"/>
        <v/>
      </c>
      <c r="S134" s="109"/>
      <c r="T134" s="104">
        <v>0</v>
      </c>
      <c r="U134" s="104">
        <v>0</v>
      </c>
      <c r="V134" s="104">
        <v>0</v>
      </c>
      <c r="W134" s="104"/>
      <c r="Y134"/>
    </row>
    <row r="135" spans="1:30" s="47" customFormat="1" x14ac:dyDescent="0.3">
      <c r="A135" s="49">
        <v>469</v>
      </c>
      <c r="B135" s="44">
        <v>-28.706678223912316</v>
      </c>
      <c r="C135" s="45">
        <v>-27.819985460239348</v>
      </c>
      <c r="D135" s="50" t="str">
        <f t="shared" si="17"/>
        <v/>
      </c>
      <c r="E135" s="44">
        <v>-26.399261827536073</v>
      </c>
      <c r="F135" s="41"/>
      <c r="G135" s="41"/>
      <c r="H135" s="41"/>
      <c r="I135" s="41"/>
      <c r="J135" s="10" t="s">
        <v>11</v>
      </c>
      <c r="K135" s="46">
        <f t="shared" si="16"/>
        <v>-27.641975170562578</v>
      </c>
      <c r="L135" s="32" t="e">
        <v>#VALUE!</v>
      </c>
      <c r="M135" s="32" t="e">
        <v>#VALUE!</v>
      </c>
      <c r="N135" s="32">
        <v>0.88669276367296845</v>
      </c>
      <c r="O135" s="32">
        <v>1.8640700145397595</v>
      </c>
      <c r="P135" s="128" t="str">
        <f t="shared" si="18"/>
        <v/>
      </c>
      <c r="Q135" s="128" t="str">
        <f t="shared" si="19"/>
        <v/>
      </c>
      <c r="R135" s="128" t="str">
        <f t="shared" si="20"/>
        <v/>
      </c>
      <c r="S135" s="109"/>
      <c r="T135" s="104">
        <v>0</v>
      </c>
      <c r="U135" s="104">
        <v>0</v>
      </c>
      <c r="V135" s="104">
        <v>0</v>
      </c>
      <c r="W135" s="104"/>
      <c r="Y135"/>
    </row>
    <row r="136" spans="1:30" s="47" customFormat="1" x14ac:dyDescent="0.3">
      <c r="A136" s="49">
        <v>470</v>
      </c>
      <c r="B136" s="44">
        <v>-29.815044178503527</v>
      </c>
      <c r="C136" s="45">
        <v>-28.62606979085114</v>
      </c>
      <c r="D136" s="50" t="str">
        <f t="shared" si="17"/>
        <v/>
      </c>
      <c r="E136" s="44">
        <v>-27.003825075494916</v>
      </c>
      <c r="F136" s="41"/>
      <c r="G136" s="41"/>
      <c r="H136" s="41"/>
      <c r="I136" s="41"/>
      <c r="J136" s="10" t="s">
        <v>11</v>
      </c>
      <c r="K136" s="46">
        <f t="shared" si="16"/>
        <v>-28.481646348283192</v>
      </c>
      <c r="L136" s="32" t="e">
        <v>#VALUE!</v>
      </c>
      <c r="M136" s="32" t="e">
        <v>#VALUE!</v>
      </c>
      <c r="N136" s="32">
        <v>1.1889743876523866</v>
      </c>
      <c r="O136" s="32">
        <v>2.2167319091824176</v>
      </c>
      <c r="P136" s="128" t="str">
        <f t="shared" si="18"/>
        <v/>
      </c>
      <c r="Q136" s="128" t="str">
        <f t="shared" si="19"/>
        <v/>
      </c>
      <c r="R136" s="128" t="str">
        <f t="shared" si="20"/>
        <v/>
      </c>
      <c r="S136" s="109"/>
      <c r="T136" s="104">
        <v>0</v>
      </c>
      <c r="U136" s="104">
        <v>0</v>
      </c>
      <c r="V136" s="104">
        <v>0</v>
      </c>
      <c r="W136" s="104"/>
      <c r="Y136"/>
    </row>
    <row r="137" spans="1:30" s="47" customFormat="1" x14ac:dyDescent="0.3">
      <c r="A137" s="49">
        <v>471</v>
      </c>
      <c r="B137" s="44">
        <v>-30.127401856615592</v>
      </c>
      <c r="C137" s="45">
        <v>-28.767134548708203</v>
      </c>
      <c r="D137" s="50" t="str">
        <f t="shared" si="17"/>
        <v/>
      </c>
      <c r="E137" s="44">
        <v>-27.225498266413155</v>
      </c>
      <c r="F137" s="41"/>
      <c r="G137" s="41"/>
      <c r="H137" s="41"/>
      <c r="I137" s="41"/>
      <c r="J137" s="4" t="s">
        <v>18</v>
      </c>
      <c r="K137" s="46">
        <f t="shared" si="16"/>
        <v>-28.706678223912316</v>
      </c>
      <c r="L137" s="32" t="e">
        <v>#VALUE!</v>
      </c>
      <c r="M137" s="32" t="e">
        <v>#VALUE!</v>
      </c>
      <c r="N137" s="32">
        <v>1.3602673079073888</v>
      </c>
      <c r="O137" s="32">
        <v>2.2217699362487409</v>
      </c>
      <c r="P137" s="128" t="str">
        <f t="shared" si="18"/>
        <v/>
      </c>
      <c r="Q137" s="128" t="str">
        <f t="shared" si="19"/>
        <v/>
      </c>
      <c r="R137" s="128" t="str">
        <f t="shared" si="20"/>
        <v/>
      </c>
      <c r="S137" s="109"/>
      <c r="T137" s="104">
        <v>0</v>
      </c>
      <c r="U137" s="104">
        <v>0</v>
      </c>
      <c r="V137" s="104">
        <v>0</v>
      </c>
      <c r="W137" s="104"/>
      <c r="Y137"/>
    </row>
    <row r="138" spans="1:30" s="47" customFormat="1" x14ac:dyDescent="0.3">
      <c r="A138" s="49">
        <v>472</v>
      </c>
      <c r="B138" s="44">
        <v>-29.946032882227939</v>
      </c>
      <c r="C138" s="45">
        <v>-29.583294933452638</v>
      </c>
      <c r="D138" s="50" t="str">
        <f t="shared" si="17"/>
        <v/>
      </c>
      <c r="E138" s="44">
        <v>-28.223027625545246</v>
      </c>
      <c r="F138" s="41"/>
      <c r="G138" s="41"/>
      <c r="H138" s="41"/>
      <c r="I138" s="41"/>
      <c r="J138" s="4" t="s">
        <v>18</v>
      </c>
      <c r="K138" s="46">
        <f t="shared" si="16"/>
        <v>-29.250785147075273</v>
      </c>
      <c r="L138" s="32" t="e">
        <v>#VALUE!</v>
      </c>
      <c r="M138" s="32" t="e">
        <v>#VALUE!</v>
      </c>
      <c r="N138" s="32">
        <v>0.36273794877530108</v>
      </c>
      <c r="O138" s="32">
        <v>1.5416362822950411</v>
      </c>
      <c r="P138" s="128" t="str">
        <f t="shared" si="18"/>
        <v/>
      </c>
      <c r="Q138" s="128" t="str">
        <f t="shared" si="19"/>
        <v/>
      </c>
      <c r="R138" s="128" t="str">
        <f t="shared" si="20"/>
        <v/>
      </c>
      <c r="S138" s="109"/>
      <c r="T138" s="104">
        <v>0</v>
      </c>
      <c r="U138" s="104">
        <v>0</v>
      </c>
      <c r="V138" s="104">
        <v>0</v>
      </c>
      <c r="W138" s="104"/>
      <c r="Y138"/>
    </row>
    <row r="139" spans="1:30" s="47" customFormat="1" x14ac:dyDescent="0.3">
      <c r="A139" s="49">
        <v>473</v>
      </c>
      <c r="B139" s="44">
        <v>-29.472458337993515</v>
      </c>
      <c r="C139" s="45">
        <v>-27.910669947433174</v>
      </c>
      <c r="D139" s="50" t="str">
        <f t="shared" si="17"/>
        <v/>
      </c>
      <c r="E139" s="44">
        <v>-26.86276031763785</v>
      </c>
      <c r="F139" s="41"/>
      <c r="G139" s="41"/>
      <c r="H139" s="41"/>
      <c r="I139" s="41"/>
      <c r="J139" s="4" t="s">
        <v>11</v>
      </c>
      <c r="K139" s="46">
        <f t="shared" si="16"/>
        <v>-28.08196286768818</v>
      </c>
      <c r="L139" s="32" t="e">
        <v>#VALUE!</v>
      </c>
      <c r="M139" s="32" t="e">
        <v>#VALUE!</v>
      </c>
      <c r="N139" s="32">
        <v>1.5617883905603414</v>
      </c>
      <c r="O139" s="32">
        <v>1.8288038250754965</v>
      </c>
      <c r="P139" s="128" t="str">
        <f t="shared" si="18"/>
        <v/>
      </c>
      <c r="Q139" s="128" t="str">
        <f t="shared" si="19"/>
        <v/>
      </c>
      <c r="R139" s="128" t="str">
        <f t="shared" si="20"/>
        <v/>
      </c>
      <c r="S139" s="109"/>
      <c r="T139" s="104">
        <v>0</v>
      </c>
      <c r="U139" s="104">
        <v>0</v>
      </c>
      <c r="V139" s="104">
        <v>0</v>
      </c>
      <c r="W139" s="104"/>
      <c r="Y139"/>
    </row>
    <row r="140" spans="1:30" s="47" customFormat="1" x14ac:dyDescent="0.3">
      <c r="A140" s="49">
        <v>474</v>
      </c>
      <c r="B140" s="44">
        <v>-30.006489207023826</v>
      </c>
      <c r="C140" s="45">
        <v>-29.744511799574994</v>
      </c>
      <c r="D140" s="50" t="str">
        <f t="shared" si="17"/>
        <v/>
      </c>
      <c r="E140" s="44">
        <v>-29.250785147075277</v>
      </c>
      <c r="F140" s="41"/>
      <c r="G140" s="41"/>
      <c r="H140" s="41"/>
      <c r="I140" s="41"/>
      <c r="J140" s="4" t="s">
        <v>18</v>
      </c>
      <c r="K140" s="46">
        <f t="shared" si="16"/>
        <v>-29.667262051224697</v>
      </c>
      <c r="L140" s="32" t="e">
        <v>#VALUE!</v>
      </c>
      <c r="M140" s="32" t="e">
        <v>#VALUE!</v>
      </c>
      <c r="N140" s="32">
        <v>0.26197740744883191</v>
      </c>
      <c r="O140" s="32">
        <v>0.62471535622413299</v>
      </c>
      <c r="P140" s="128" t="str">
        <f t="shared" si="18"/>
        <v/>
      </c>
      <c r="Q140" s="128" t="str">
        <f t="shared" si="19"/>
        <v/>
      </c>
      <c r="R140" s="128" t="str">
        <f t="shared" si="20"/>
        <v/>
      </c>
      <c r="S140" s="109"/>
      <c r="T140" s="104">
        <v>0</v>
      </c>
      <c r="U140" s="104">
        <v>0</v>
      </c>
      <c r="V140" s="104">
        <v>0</v>
      </c>
      <c r="W140" s="104">
        <v>0</v>
      </c>
      <c r="Y140"/>
    </row>
    <row r="141" spans="1:30" s="47" customFormat="1" x14ac:dyDescent="0.3">
      <c r="A141" s="49">
        <v>475</v>
      </c>
      <c r="B141" s="41"/>
      <c r="C141" s="41"/>
      <c r="D141" s="44" t="str">
        <f t="shared" si="17"/>
        <v/>
      </c>
      <c r="E141" s="41"/>
      <c r="F141" s="67"/>
      <c r="G141" s="67"/>
      <c r="H141" s="68">
        <v>-30.764415190000005</v>
      </c>
      <c r="I141" s="68"/>
      <c r="J141" s="4" t="s">
        <v>18</v>
      </c>
      <c r="K141" s="46" t="e">
        <f t="shared" si="16"/>
        <v>#DIV/0!</v>
      </c>
      <c r="L141" s="32" t="e">
        <v>#VALUE!</v>
      </c>
      <c r="M141" s="32" t="e">
        <v>#VALUE!</v>
      </c>
      <c r="N141" s="32">
        <v>0</v>
      </c>
      <c r="O141" s="32" t="e">
        <v>#DIV/0!</v>
      </c>
      <c r="P141" s="128" t="str">
        <f t="shared" si="18"/>
        <v/>
      </c>
      <c r="Q141" s="128" t="str">
        <f t="shared" si="19"/>
        <v/>
      </c>
      <c r="R141" s="128" t="str">
        <f t="shared" si="20"/>
        <v/>
      </c>
      <c r="S141" s="107"/>
      <c r="T141" s="104"/>
      <c r="U141" s="104"/>
      <c r="V141" s="104"/>
      <c r="W141" s="104"/>
      <c r="Y141"/>
    </row>
    <row r="142" spans="1:30" s="47" customFormat="1" x14ac:dyDescent="0.3">
      <c r="A142" s="49">
        <v>476</v>
      </c>
      <c r="B142" s="68">
        <v>-32.658700880000005</v>
      </c>
      <c r="C142" s="68">
        <v>-32.324415170000002</v>
      </c>
      <c r="D142" s="44">
        <f t="shared" si="17"/>
        <v>-31.017661940000004</v>
      </c>
      <c r="E142" s="41"/>
      <c r="F142" s="69">
        <v>-31.017661940000004</v>
      </c>
      <c r="G142" s="69"/>
      <c r="H142" s="68">
        <v>-32.506752830000003</v>
      </c>
      <c r="I142" s="68"/>
      <c r="J142" s="4" t="s">
        <v>18</v>
      </c>
      <c r="K142" s="46">
        <f t="shared" si="16"/>
        <v>-31.754609982500007</v>
      </c>
      <c r="L142" s="32">
        <v>31.017661940000004</v>
      </c>
      <c r="M142" s="32">
        <v>1.3067532299999982</v>
      </c>
      <c r="N142" s="32">
        <v>0.33428571000000318</v>
      </c>
      <c r="O142" s="32">
        <v>1.4738960849999998</v>
      </c>
      <c r="P142" s="128" t="str">
        <f t="shared" si="18"/>
        <v/>
      </c>
      <c r="Q142" s="128" t="str">
        <f t="shared" si="19"/>
        <v/>
      </c>
      <c r="R142" s="128" t="str">
        <f t="shared" si="20"/>
        <v/>
      </c>
      <c r="S142" s="107"/>
      <c r="T142" s="104">
        <v>0</v>
      </c>
      <c r="U142" s="104">
        <v>0</v>
      </c>
      <c r="V142" s="104"/>
      <c r="W142" s="104"/>
      <c r="Y142"/>
    </row>
    <row r="143" spans="1:30" s="47" customFormat="1" x14ac:dyDescent="0.3">
      <c r="A143" s="49">
        <v>477</v>
      </c>
      <c r="B143" s="68">
        <v>-32.82458256000001</v>
      </c>
      <c r="C143" s="68">
        <v>-32.304155430000002</v>
      </c>
      <c r="D143" s="44">
        <f t="shared" si="17"/>
        <v>-31.149350250000001</v>
      </c>
      <c r="E143" s="41"/>
      <c r="F143" s="69">
        <v>-31.149350250000001</v>
      </c>
      <c r="G143" s="69"/>
      <c r="H143" s="68">
        <v>-32.304155430000002</v>
      </c>
      <c r="I143" s="68"/>
      <c r="J143" s="4" t="s">
        <v>18</v>
      </c>
      <c r="K143" s="46">
        <f t="shared" si="16"/>
        <v>-31.856859622500004</v>
      </c>
      <c r="L143" s="32">
        <v>31.149350250000001</v>
      </c>
      <c r="M143" s="32">
        <v>1.1548051800000003</v>
      </c>
      <c r="N143" s="32">
        <v>0.52042713000000873</v>
      </c>
      <c r="O143" s="32">
        <v>1.4150187450000082</v>
      </c>
      <c r="P143" s="128" t="str">
        <f t="shared" si="18"/>
        <v/>
      </c>
      <c r="Q143" s="128" t="str">
        <f t="shared" si="19"/>
        <v/>
      </c>
      <c r="R143" s="128" t="str">
        <f t="shared" si="20"/>
        <v/>
      </c>
      <c r="S143" s="107"/>
      <c r="T143" s="104">
        <v>0</v>
      </c>
      <c r="U143" s="104">
        <v>0</v>
      </c>
      <c r="V143" s="104"/>
      <c r="W143" s="104"/>
      <c r="Y143"/>
    </row>
    <row r="144" spans="1:30" s="47" customFormat="1" x14ac:dyDescent="0.3">
      <c r="A144" s="49">
        <v>478</v>
      </c>
      <c r="B144" s="41"/>
      <c r="C144" s="41"/>
      <c r="D144" s="44" t="str">
        <f t="shared" si="17"/>
        <v/>
      </c>
      <c r="E144" s="41"/>
      <c r="F144" s="67"/>
      <c r="G144" s="67"/>
      <c r="H144" s="68">
        <v>-31.453246350000004</v>
      </c>
      <c r="I144" s="68"/>
      <c r="J144" s="4" t="s">
        <v>18</v>
      </c>
      <c r="K144" s="46" t="e">
        <f t="shared" si="16"/>
        <v>#DIV/0!</v>
      </c>
      <c r="L144" s="32" t="e">
        <v>#VALUE!</v>
      </c>
      <c r="M144" s="32" t="e">
        <v>#VALUE!</v>
      </c>
      <c r="N144" s="32">
        <v>0</v>
      </c>
      <c r="O144" s="32" t="e">
        <v>#DIV/0!</v>
      </c>
      <c r="P144" s="128" t="str">
        <f t="shared" si="18"/>
        <v/>
      </c>
      <c r="Q144" s="128" t="str">
        <f t="shared" si="19"/>
        <v/>
      </c>
      <c r="R144" s="128" t="str">
        <f t="shared" si="20"/>
        <v/>
      </c>
      <c r="S144" s="107"/>
      <c r="T144" s="104"/>
      <c r="U144" s="104"/>
      <c r="V144" s="104"/>
      <c r="W144" s="104"/>
      <c r="Y144"/>
    </row>
    <row r="145" spans="1:30" x14ac:dyDescent="0.3">
      <c r="A145" s="10">
        <v>479</v>
      </c>
      <c r="B145" s="15">
        <v>-32.611435920000005</v>
      </c>
      <c r="C145" s="15">
        <v>-32.435843740000003</v>
      </c>
      <c r="D145" s="6">
        <f t="shared" si="17"/>
        <v>-31.929350240000002</v>
      </c>
      <c r="E145" s="15">
        <v>-32.533343370000004</v>
      </c>
      <c r="F145" s="16">
        <v>-31.929350240000002</v>
      </c>
      <c r="G145" s="16"/>
      <c r="H145" s="15">
        <v>-32.421405060000005</v>
      </c>
      <c r="I145" s="15"/>
      <c r="J145" s="4" t="s">
        <v>18</v>
      </c>
      <c r="K145" s="32">
        <f t="shared" si="16"/>
        <v>-32.287864702</v>
      </c>
      <c r="L145" s="32">
        <v>-0.60399313000000276</v>
      </c>
      <c r="M145" s="32">
        <v>0.50649350000000126</v>
      </c>
      <c r="N145" s="32">
        <v>0.17559218000000243</v>
      </c>
      <c r="O145" s="32">
        <v>0.29229302500000642</v>
      </c>
      <c r="P145" s="128">
        <f t="shared" si="18"/>
        <v>7.8092550000000927E-2</v>
      </c>
      <c r="Q145" s="128">
        <f t="shared" si="19"/>
        <v>-9.7499630000001503E-2</v>
      </c>
      <c r="R145" s="128">
        <f t="shared" si="20"/>
        <v>-9.7035399999967353E-3</v>
      </c>
      <c r="S145" s="115"/>
      <c r="T145" s="99">
        <v>0</v>
      </c>
      <c r="U145" s="99">
        <v>0</v>
      </c>
      <c r="V145" s="99">
        <v>0</v>
      </c>
      <c r="W145" s="99">
        <v>0</v>
      </c>
      <c r="X145" t="s">
        <v>16</v>
      </c>
      <c r="AC145"/>
      <c r="AD145"/>
    </row>
    <row r="146" spans="1:30" x14ac:dyDescent="0.3">
      <c r="A146" s="10">
        <v>480</v>
      </c>
      <c r="B146" s="15">
        <v>-32.641885440000003</v>
      </c>
      <c r="C146" s="15">
        <v>-32.1116879</v>
      </c>
      <c r="D146" s="6">
        <f t="shared" si="17"/>
        <v>-31.78753206</v>
      </c>
      <c r="E146" s="15">
        <v>-31.902418350000005</v>
      </c>
      <c r="F146" s="16">
        <v>-31.78753206</v>
      </c>
      <c r="G146" s="16"/>
      <c r="H146" s="15">
        <v>-32.574048210000001</v>
      </c>
      <c r="I146" s="15"/>
      <c r="J146" s="4" t="s">
        <v>18</v>
      </c>
      <c r="K146" s="32">
        <f t="shared" si="16"/>
        <v>-32.046211161999999</v>
      </c>
      <c r="L146" s="32">
        <v>-0.11488629000000472</v>
      </c>
      <c r="M146" s="32">
        <v>0.32415583999999953</v>
      </c>
      <c r="N146" s="32">
        <v>0.53019754000000319</v>
      </c>
      <c r="O146" s="32">
        <v>0.53181146499999699</v>
      </c>
      <c r="P146" s="128">
        <f t="shared" si="18"/>
        <v>0.739467089999998</v>
      </c>
      <c r="Q146" s="128">
        <f t="shared" si="19"/>
        <v>0.20926954999999481</v>
      </c>
      <c r="R146" s="128">
        <f t="shared" si="20"/>
        <v>0.4743683199999964</v>
      </c>
      <c r="S146" s="115"/>
      <c r="T146" s="99">
        <v>0</v>
      </c>
      <c r="U146" s="99">
        <v>0</v>
      </c>
      <c r="X146" t="s">
        <v>16</v>
      </c>
      <c r="AC146"/>
      <c r="AD146"/>
    </row>
    <row r="147" spans="1:30" x14ac:dyDescent="0.3">
      <c r="A147" s="4">
        <v>543</v>
      </c>
      <c r="B147" s="8">
        <v>-29.949245069045293</v>
      </c>
      <c r="C147" s="8">
        <v>-29.522636313768515</v>
      </c>
      <c r="D147" s="6">
        <f t="shared" si="17"/>
        <v>-28.78</v>
      </c>
      <c r="E147" s="8">
        <v>-27.6</v>
      </c>
      <c r="F147" s="8">
        <v>-29.08</v>
      </c>
      <c r="G147" s="8">
        <v>-28.48</v>
      </c>
      <c r="H147" s="8">
        <v>-30.047305851935651</v>
      </c>
      <c r="I147" s="8"/>
      <c r="J147" s="6" t="s">
        <v>11</v>
      </c>
      <c r="K147" s="32">
        <f t="shared" si="16"/>
        <v>-28.901980230468965</v>
      </c>
      <c r="L147" s="32">
        <v>1.1799999999999997</v>
      </c>
      <c r="M147" s="32">
        <v>0.74263631376851436</v>
      </c>
      <c r="N147" s="32">
        <v>0.42660875527677788</v>
      </c>
      <c r="O147" s="32">
        <v>1.5459406914069014</v>
      </c>
      <c r="P147" s="128">
        <f t="shared" si="18"/>
        <v>1.1692450690452922</v>
      </c>
      <c r="Q147" s="128">
        <f t="shared" si="19"/>
        <v>0.74263631376851436</v>
      </c>
      <c r="R147" s="128">
        <f t="shared" si="20"/>
        <v>0.95594069140690152</v>
      </c>
      <c r="S147" s="115">
        <v>0</v>
      </c>
      <c r="T147" s="99">
        <v>0</v>
      </c>
      <c r="U147" s="99">
        <v>0</v>
      </c>
      <c r="V147" s="99">
        <v>0</v>
      </c>
      <c r="W147" s="99">
        <v>0</v>
      </c>
      <c r="X147" t="s">
        <v>16</v>
      </c>
      <c r="AC147"/>
      <c r="AD147"/>
    </row>
    <row r="148" spans="1:30" x14ac:dyDescent="0.3">
      <c r="A148" s="4">
        <v>544</v>
      </c>
      <c r="B148" s="8">
        <v>-29.23</v>
      </c>
      <c r="C148" s="8">
        <v>-28.11</v>
      </c>
      <c r="D148" s="6">
        <f t="shared" si="17"/>
        <v>-28.655000000000001</v>
      </c>
      <c r="E148" s="6"/>
      <c r="F148" s="8">
        <v>-29.43</v>
      </c>
      <c r="G148" s="8">
        <v>-27.88</v>
      </c>
      <c r="H148" s="6"/>
      <c r="I148" s="6"/>
      <c r="J148" s="4" t="s">
        <v>18</v>
      </c>
      <c r="K148" s="32">
        <f t="shared" si="16"/>
        <v>-28.661000000000001</v>
      </c>
      <c r="L148" s="32">
        <v>28.655000000000001</v>
      </c>
      <c r="M148" s="32">
        <v>-0.54500000000000171</v>
      </c>
      <c r="N148" s="32">
        <v>1.120000000000001</v>
      </c>
      <c r="O148" s="32">
        <v>1.5000000000000568E-2</v>
      </c>
      <c r="P148" s="128" t="str">
        <f t="shared" si="18"/>
        <v/>
      </c>
      <c r="Q148" s="128" t="str">
        <f t="shared" si="19"/>
        <v/>
      </c>
      <c r="R148" s="128" t="str">
        <f t="shared" si="20"/>
        <v/>
      </c>
      <c r="S148" s="115"/>
      <c r="T148" s="99">
        <v>0</v>
      </c>
      <c r="U148" s="99">
        <v>0</v>
      </c>
      <c r="V148" s="99">
        <v>0</v>
      </c>
      <c r="X148" t="s">
        <v>16</v>
      </c>
      <c r="AC148"/>
      <c r="AD148"/>
    </row>
    <row r="149" spans="1:30" x14ac:dyDescent="0.3">
      <c r="A149" s="4">
        <v>545</v>
      </c>
      <c r="B149" s="8">
        <v>-29.14</v>
      </c>
      <c r="C149" s="8">
        <v>-28.68</v>
      </c>
      <c r="D149" s="6">
        <f t="shared" si="17"/>
        <v>-28.65</v>
      </c>
      <c r="E149" s="8">
        <v>-27.74</v>
      </c>
      <c r="F149" s="8">
        <v>-28.79</v>
      </c>
      <c r="G149" s="8">
        <v>-28.51</v>
      </c>
      <c r="H149" s="6"/>
      <c r="I149" s="6"/>
      <c r="J149" s="6" t="s">
        <v>11</v>
      </c>
      <c r="K149" s="32">
        <f t="shared" si="16"/>
        <v>-28.584999999999997</v>
      </c>
      <c r="L149" s="32">
        <v>0.91000000000000014</v>
      </c>
      <c r="M149" s="32">
        <v>3.0000000000001137E-2</v>
      </c>
      <c r="N149" s="32">
        <v>0.46000000000000085</v>
      </c>
      <c r="O149" s="32">
        <v>0.71499999999999986</v>
      </c>
      <c r="P149" s="128">
        <f t="shared" si="18"/>
        <v>0.49000000000000199</v>
      </c>
      <c r="Q149" s="128">
        <f t="shared" si="19"/>
        <v>3.0000000000001137E-2</v>
      </c>
      <c r="R149" s="128">
        <f t="shared" si="20"/>
        <v>0.26000000000000156</v>
      </c>
      <c r="S149" s="115">
        <v>0</v>
      </c>
      <c r="T149" s="99">
        <v>0</v>
      </c>
      <c r="U149" s="99">
        <v>0</v>
      </c>
      <c r="V149" s="99">
        <v>0</v>
      </c>
      <c r="W149" s="99">
        <v>0</v>
      </c>
      <c r="X149" t="s">
        <v>16</v>
      </c>
      <c r="AC149"/>
      <c r="AD149"/>
    </row>
    <row r="150" spans="1:30" x14ac:dyDescent="0.3">
      <c r="A150" s="4">
        <v>546</v>
      </c>
      <c r="B150" s="8">
        <v>-29.529018682689205</v>
      </c>
      <c r="C150" s="8">
        <v>-31.167496812844792</v>
      </c>
      <c r="D150" s="6">
        <f t="shared" si="17"/>
        <v>-28.939999999999998</v>
      </c>
      <c r="E150" s="6"/>
      <c r="F150" s="8">
        <v>-29.8</v>
      </c>
      <c r="G150" s="8">
        <v>-28.08</v>
      </c>
      <c r="H150" s="6"/>
      <c r="I150" s="6"/>
      <c r="J150" s="4" t="s">
        <v>18</v>
      </c>
      <c r="K150" s="32">
        <f t="shared" si="16"/>
        <v>-29.503303099106802</v>
      </c>
      <c r="L150" s="32">
        <v>28.939999999999998</v>
      </c>
      <c r="M150" s="32">
        <v>2.2274968128447945</v>
      </c>
      <c r="N150" s="32">
        <v>-1.6384781301555869</v>
      </c>
      <c r="O150" s="32">
        <v>1.4082577477670029</v>
      </c>
      <c r="P150" s="128" t="str">
        <f t="shared" si="18"/>
        <v/>
      </c>
      <c r="Q150" s="128" t="str">
        <f t="shared" si="19"/>
        <v/>
      </c>
      <c r="R150" s="128" t="str">
        <f t="shared" si="20"/>
        <v/>
      </c>
      <c r="S150" s="115"/>
      <c r="X150" t="s">
        <v>16</v>
      </c>
      <c r="AC150"/>
      <c r="AD150"/>
    </row>
    <row r="151" spans="1:30" x14ac:dyDescent="0.3">
      <c r="A151" s="4">
        <v>547</v>
      </c>
      <c r="B151" s="8">
        <v>-29.08</v>
      </c>
      <c r="C151" s="8">
        <v>-29.12</v>
      </c>
      <c r="D151" s="6">
        <f t="shared" si="17"/>
        <v>-28.824999999999999</v>
      </c>
      <c r="E151" s="8">
        <v>-29.04</v>
      </c>
      <c r="F151" s="8">
        <v>-28.95</v>
      </c>
      <c r="G151" s="8">
        <v>-28.7</v>
      </c>
      <c r="H151" s="8">
        <v>-30.385834656710777</v>
      </c>
      <c r="I151" s="8"/>
      <c r="J151" s="4" t="s">
        <v>18</v>
      </c>
      <c r="K151" s="32">
        <f t="shared" si="16"/>
        <v>-28.952499999999997</v>
      </c>
      <c r="L151" s="32">
        <v>-0.21499999999999986</v>
      </c>
      <c r="M151" s="32">
        <v>0.29500000000000171</v>
      </c>
      <c r="N151" s="32">
        <v>-4.00000000000027E-2</v>
      </c>
      <c r="O151" s="32">
        <v>0.16750000000000398</v>
      </c>
      <c r="P151" s="128">
        <f t="shared" si="18"/>
        <v>8.0000000000001847E-2</v>
      </c>
      <c r="Q151" s="128">
        <f t="shared" si="19"/>
        <v>3.9999999999999147E-2</v>
      </c>
      <c r="R151" s="128">
        <f t="shared" si="20"/>
        <v>6.0000000000002274E-2</v>
      </c>
      <c r="S151" s="115">
        <v>0</v>
      </c>
      <c r="T151" s="99">
        <v>1</v>
      </c>
      <c r="U151" s="99">
        <v>1</v>
      </c>
      <c r="V151" s="99">
        <v>1</v>
      </c>
      <c r="W151" s="99">
        <v>0</v>
      </c>
      <c r="X151" t="s">
        <v>16</v>
      </c>
      <c r="AC151"/>
      <c r="AD151"/>
    </row>
    <row r="152" spans="1:30" x14ac:dyDescent="0.3">
      <c r="A152" s="4">
        <v>548</v>
      </c>
      <c r="B152" s="8">
        <v>-30.467869219093835</v>
      </c>
      <c r="C152" s="8">
        <v>-29.24</v>
      </c>
      <c r="D152" s="6">
        <f t="shared" si="17"/>
        <v>-28.685000000000002</v>
      </c>
      <c r="E152" s="8">
        <v>-29.08</v>
      </c>
      <c r="F152" s="8">
        <v>-28.85</v>
      </c>
      <c r="G152" s="8">
        <v>-28.52</v>
      </c>
      <c r="H152" s="8">
        <v>-30.351768812665327</v>
      </c>
      <c r="I152" s="8"/>
      <c r="J152" s="4" t="s">
        <v>18</v>
      </c>
      <c r="K152" s="32">
        <f t="shared" si="16"/>
        <v>-29.140478203182308</v>
      </c>
      <c r="L152" s="32">
        <v>-0.39499999999999602</v>
      </c>
      <c r="M152" s="32">
        <v>0.55499999999999616</v>
      </c>
      <c r="N152" s="32">
        <v>1.2278692190938365</v>
      </c>
      <c r="O152" s="32">
        <v>0.97143460954691818</v>
      </c>
      <c r="P152" s="128">
        <f t="shared" si="18"/>
        <v>1.3878692190938366</v>
      </c>
      <c r="Q152" s="128">
        <f t="shared" si="19"/>
        <v>0.16000000000000014</v>
      </c>
      <c r="R152" s="128">
        <f t="shared" si="20"/>
        <v>0.77393460954692017</v>
      </c>
      <c r="S152" s="115">
        <v>0</v>
      </c>
      <c r="T152" s="99">
        <v>0</v>
      </c>
      <c r="U152" s="99">
        <v>0</v>
      </c>
      <c r="V152" s="99">
        <v>0</v>
      </c>
      <c r="W152" s="99">
        <v>0</v>
      </c>
      <c r="X152" t="s">
        <v>16</v>
      </c>
      <c r="AC152"/>
      <c r="AD152"/>
    </row>
    <row r="153" spans="1:30" x14ac:dyDescent="0.3">
      <c r="A153" s="4">
        <v>549</v>
      </c>
      <c r="B153" s="8">
        <v>-27.91</v>
      </c>
      <c r="C153" s="8">
        <v>-29.57</v>
      </c>
      <c r="D153" s="6">
        <f t="shared" si="17"/>
        <v>-28.255000000000003</v>
      </c>
      <c r="E153" s="8"/>
      <c r="F153" s="8">
        <v>-28.87</v>
      </c>
      <c r="G153" s="8">
        <v>-27.64</v>
      </c>
      <c r="H153" s="8">
        <v>-29.326769379305254</v>
      </c>
      <c r="I153" s="8"/>
      <c r="J153" s="6" t="s">
        <v>11</v>
      </c>
      <c r="K153" s="32">
        <f t="shared" si="16"/>
        <v>-28.449000000000002</v>
      </c>
      <c r="L153" s="32">
        <v>28.255000000000003</v>
      </c>
      <c r="M153" s="32">
        <v>1.3149999999999977</v>
      </c>
      <c r="N153" s="32">
        <v>-1.6600000000000001</v>
      </c>
      <c r="O153" s="32">
        <v>0.48499999999999943</v>
      </c>
      <c r="P153" s="128" t="str">
        <f t="shared" si="18"/>
        <v/>
      </c>
      <c r="Q153" s="128" t="str">
        <f t="shared" si="19"/>
        <v/>
      </c>
      <c r="R153" s="128" t="str">
        <f t="shared" si="20"/>
        <v/>
      </c>
      <c r="S153" s="115">
        <v>0</v>
      </c>
      <c r="X153" t="s">
        <v>16</v>
      </c>
      <c r="AC153"/>
      <c r="AD153"/>
    </row>
    <row r="154" spans="1:30" x14ac:dyDescent="0.3">
      <c r="A154" s="4">
        <v>550</v>
      </c>
      <c r="B154" s="8">
        <v>-29.570662531912532</v>
      </c>
      <c r="C154" s="8">
        <v>-30.093342693798682</v>
      </c>
      <c r="D154" s="6">
        <f t="shared" si="17"/>
        <v>-28.844999999999999</v>
      </c>
      <c r="E154" s="8"/>
      <c r="F154" s="8">
        <v>-28.85</v>
      </c>
      <c r="G154" s="8">
        <v>-28.84</v>
      </c>
      <c r="H154" s="8">
        <v>-30.798504335088133</v>
      </c>
      <c r="I154" s="8"/>
      <c r="J154" s="6" t="s">
        <v>18</v>
      </c>
      <c r="K154" s="32">
        <f t="shared" si="16"/>
        <v>-29.23980104514224</v>
      </c>
      <c r="L154" s="32">
        <v>28.844999999999999</v>
      </c>
      <c r="M154" s="32">
        <v>1.2483426937986835</v>
      </c>
      <c r="N154" s="32">
        <v>-0.52268016188615007</v>
      </c>
      <c r="O154" s="32">
        <v>0.98700261285560842</v>
      </c>
      <c r="P154" s="128" t="str">
        <f t="shared" si="18"/>
        <v/>
      </c>
      <c r="Q154" s="128" t="str">
        <f t="shared" si="19"/>
        <v/>
      </c>
      <c r="R154" s="128" t="str">
        <f t="shared" si="20"/>
        <v/>
      </c>
      <c r="S154" s="115">
        <v>0</v>
      </c>
      <c r="X154" t="s">
        <v>16</v>
      </c>
      <c r="AC154"/>
      <c r="AD154"/>
    </row>
    <row r="155" spans="1:30" x14ac:dyDescent="0.3">
      <c r="A155" s="4">
        <v>551</v>
      </c>
      <c r="B155" s="8">
        <v>-28.836776880920738</v>
      </c>
      <c r="C155" s="8">
        <v>-29.431273692992868</v>
      </c>
      <c r="D155" s="6">
        <f t="shared" si="17"/>
        <v>-30.063167629211314</v>
      </c>
      <c r="E155" s="8">
        <v>-29.226203235505942</v>
      </c>
      <c r="F155" s="8">
        <v>-30.342737035854455</v>
      </c>
      <c r="G155" s="8">
        <v>-29.783598222568173</v>
      </c>
      <c r="H155" s="6"/>
      <c r="I155" s="6"/>
      <c r="J155" s="4" t="s">
        <v>18</v>
      </c>
      <c r="K155" s="32">
        <f t="shared" si="16"/>
        <v>-29.613959449508911</v>
      </c>
      <c r="L155" s="32">
        <v>0.83696439370537234</v>
      </c>
      <c r="M155" s="32">
        <v>-0.63189393621844658</v>
      </c>
      <c r="N155" s="32">
        <v>-0.5944968120721299</v>
      </c>
      <c r="O155" s="32">
        <v>-0.51066014540182536</v>
      </c>
      <c r="P155" s="128">
        <f t="shared" si="18"/>
        <v>-0.63189393621844658</v>
      </c>
      <c r="Q155" s="128">
        <f t="shared" si="19"/>
        <v>-1.2263907482905765</v>
      </c>
      <c r="R155" s="128">
        <f t="shared" si="20"/>
        <v>-0.92914234225451153</v>
      </c>
      <c r="S155" s="115">
        <v>1</v>
      </c>
      <c r="T155" s="99">
        <v>1</v>
      </c>
      <c r="U155" s="99">
        <v>1</v>
      </c>
      <c r="V155" s="99">
        <v>1</v>
      </c>
      <c r="W155" s="99">
        <v>0</v>
      </c>
      <c r="X155" t="s">
        <v>16</v>
      </c>
      <c r="AC155"/>
      <c r="AD155"/>
    </row>
    <row r="156" spans="1:30" x14ac:dyDescent="0.3">
      <c r="A156" s="4">
        <v>552</v>
      </c>
      <c r="B156" s="8">
        <v>-29.73</v>
      </c>
      <c r="C156" s="8">
        <v>-27.73</v>
      </c>
      <c r="D156" s="6">
        <f t="shared" si="17"/>
        <v>-28.07</v>
      </c>
      <c r="E156" s="6"/>
      <c r="F156" s="8">
        <v>-27.83</v>
      </c>
      <c r="G156" s="8">
        <v>-28.31</v>
      </c>
      <c r="H156" s="6"/>
      <c r="I156" s="6"/>
      <c r="J156" s="4" t="s">
        <v>18</v>
      </c>
      <c r="K156" s="32">
        <f t="shared" si="16"/>
        <v>-28.333999999999996</v>
      </c>
      <c r="L156" s="32">
        <v>28.07</v>
      </c>
      <c r="M156" s="32">
        <v>-0.33999999999999986</v>
      </c>
      <c r="N156" s="32">
        <v>2</v>
      </c>
      <c r="O156" s="32">
        <v>0.66000000000000014</v>
      </c>
      <c r="P156" s="128" t="str">
        <f t="shared" si="18"/>
        <v/>
      </c>
      <c r="Q156" s="128" t="str">
        <f t="shared" si="19"/>
        <v/>
      </c>
      <c r="R156" s="128" t="str">
        <f t="shared" si="20"/>
        <v/>
      </c>
      <c r="S156" s="115">
        <v>0</v>
      </c>
      <c r="T156" s="99">
        <v>0</v>
      </c>
      <c r="U156" s="99">
        <v>0</v>
      </c>
      <c r="V156" s="99">
        <v>0</v>
      </c>
      <c r="X156" t="s">
        <v>16</v>
      </c>
      <c r="AC156"/>
      <c r="AD156"/>
    </row>
    <row r="157" spans="1:30" x14ac:dyDescent="0.3">
      <c r="A157" s="4">
        <v>553</v>
      </c>
      <c r="B157" s="8">
        <v>-29.44</v>
      </c>
      <c r="C157" s="8">
        <v>-27.75</v>
      </c>
      <c r="D157" s="6">
        <f t="shared" si="17"/>
        <v>-28.52</v>
      </c>
      <c r="E157" s="6"/>
      <c r="F157" s="8">
        <v>-28.46</v>
      </c>
      <c r="G157" s="8">
        <v>-28.58</v>
      </c>
      <c r="H157" s="8">
        <v>-30.550801158580995</v>
      </c>
      <c r="I157" s="8"/>
      <c r="J157" s="4" t="s">
        <v>18</v>
      </c>
      <c r="K157" s="32">
        <f t="shared" si="16"/>
        <v>-28.55</v>
      </c>
      <c r="L157" s="32">
        <v>28.52</v>
      </c>
      <c r="M157" s="32">
        <v>-0.76999999999999957</v>
      </c>
      <c r="N157" s="32">
        <v>1.6900000000000013</v>
      </c>
      <c r="O157" s="32">
        <v>7.4999999999999289E-2</v>
      </c>
      <c r="P157" s="128" t="str">
        <f t="shared" si="18"/>
        <v/>
      </c>
      <c r="Q157" s="128" t="str">
        <f t="shared" si="19"/>
        <v/>
      </c>
      <c r="R157" s="128" t="str">
        <f t="shared" si="20"/>
        <v/>
      </c>
      <c r="S157" s="115">
        <v>0</v>
      </c>
      <c r="T157" s="99">
        <v>0</v>
      </c>
      <c r="U157" s="99">
        <v>0</v>
      </c>
      <c r="V157" s="99">
        <v>0</v>
      </c>
      <c r="X157" t="s">
        <v>16</v>
      </c>
      <c r="AC157"/>
      <c r="AD157"/>
    </row>
    <row r="158" spans="1:30" x14ac:dyDescent="0.3">
      <c r="A158" s="4">
        <v>554</v>
      </c>
      <c r="B158" s="8">
        <v>-28.48</v>
      </c>
      <c r="C158" s="8">
        <v>-28.49</v>
      </c>
      <c r="D158" s="6">
        <f t="shared" si="17"/>
        <v>-28.234999999999999</v>
      </c>
      <c r="E158" s="8">
        <v>-26.85</v>
      </c>
      <c r="F158" s="8">
        <v>-27.56</v>
      </c>
      <c r="G158" s="8">
        <v>-28.91</v>
      </c>
      <c r="H158" s="6"/>
      <c r="I158" s="6"/>
      <c r="J158" s="6" t="s">
        <v>11</v>
      </c>
      <c r="K158" s="32">
        <f t="shared" si="16"/>
        <v>-28.087500000000002</v>
      </c>
      <c r="L158" s="32">
        <v>1.384999999999998</v>
      </c>
      <c r="M158" s="32">
        <v>0.25499999999999901</v>
      </c>
      <c r="N158" s="32">
        <v>-9.9999999999980105E-3</v>
      </c>
      <c r="O158" s="32">
        <v>0.94249999999999901</v>
      </c>
      <c r="P158" s="128">
        <f t="shared" si="18"/>
        <v>0.25499999999999901</v>
      </c>
      <c r="Q158" s="128">
        <f t="shared" si="19"/>
        <v>0.24500000000000099</v>
      </c>
      <c r="R158" s="128">
        <f t="shared" si="20"/>
        <v>0.25</v>
      </c>
      <c r="S158" s="115">
        <v>0</v>
      </c>
      <c r="T158" s="99">
        <v>1</v>
      </c>
      <c r="U158" s="99">
        <v>1</v>
      </c>
      <c r="V158" s="99">
        <v>1</v>
      </c>
      <c r="W158" s="99">
        <v>0</v>
      </c>
      <c r="X158" t="s">
        <v>16</v>
      </c>
      <c r="AC158"/>
      <c r="AD158"/>
    </row>
    <row r="159" spans="1:30" x14ac:dyDescent="0.3">
      <c r="A159" s="4">
        <v>555</v>
      </c>
      <c r="B159" s="8">
        <v>-27.76</v>
      </c>
      <c r="C159" s="8">
        <v>-29.16</v>
      </c>
      <c r="D159" s="6">
        <f t="shared" si="17"/>
        <v>-28.824999999999999</v>
      </c>
      <c r="E159" s="8">
        <v>-28.8</v>
      </c>
      <c r="F159" s="8">
        <v>-29.08</v>
      </c>
      <c r="G159" s="8">
        <v>-28.57</v>
      </c>
      <c r="H159" s="6"/>
      <c r="I159" s="6"/>
      <c r="J159" s="4" t="s">
        <v>18</v>
      </c>
      <c r="K159" s="32">
        <f t="shared" si="16"/>
        <v>-28.699166666666667</v>
      </c>
      <c r="L159" s="32">
        <v>2.4999999999998579E-2</v>
      </c>
      <c r="M159" s="32">
        <v>0.33500000000000085</v>
      </c>
      <c r="N159" s="32">
        <v>-1.3999999999999986</v>
      </c>
      <c r="O159" s="32">
        <v>-0.35249999999999915</v>
      </c>
      <c r="P159" s="128">
        <f t="shared" si="18"/>
        <v>0.33500000000000085</v>
      </c>
      <c r="Q159" s="128">
        <f t="shared" si="19"/>
        <v>-1.0649999999999977</v>
      </c>
      <c r="R159" s="128">
        <f t="shared" si="20"/>
        <v>-0.36499999999999844</v>
      </c>
      <c r="S159" s="115">
        <v>0</v>
      </c>
      <c r="T159" s="99">
        <v>1</v>
      </c>
      <c r="U159" s="99">
        <v>1</v>
      </c>
      <c r="V159" s="99">
        <v>1</v>
      </c>
      <c r="W159" s="99">
        <v>0</v>
      </c>
      <c r="X159" t="s">
        <v>16</v>
      </c>
      <c r="AC159"/>
      <c r="AD159"/>
    </row>
    <row r="160" spans="1:30" x14ac:dyDescent="0.3">
      <c r="A160" s="4">
        <v>556</v>
      </c>
      <c r="B160" s="6">
        <v>-28.66</v>
      </c>
      <c r="C160" s="6">
        <v>-28.99</v>
      </c>
      <c r="D160" s="6">
        <f t="shared" si="17"/>
        <v>-27.994999999999997</v>
      </c>
      <c r="E160" s="6"/>
      <c r="F160" s="8">
        <v>-28.43</v>
      </c>
      <c r="G160" s="8">
        <v>-27.56</v>
      </c>
      <c r="H160" s="8">
        <v>-28.830107249489913</v>
      </c>
      <c r="I160" s="8"/>
      <c r="J160" s="6" t="s">
        <v>11</v>
      </c>
      <c r="K160" s="32">
        <f t="shared" si="16"/>
        <v>-28.326999999999998</v>
      </c>
      <c r="L160" s="32">
        <v>27.994999999999997</v>
      </c>
      <c r="M160" s="32">
        <v>0.99500000000000099</v>
      </c>
      <c r="N160" s="32">
        <v>-0.32999999999999829</v>
      </c>
      <c r="O160" s="32">
        <v>0.83000000000000185</v>
      </c>
      <c r="P160" s="128" t="str">
        <f t="shared" si="18"/>
        <v/>
      </c>
      <c r="Q160" s="128" t="str">
        <f t="shared" si="19"/>
        <v/>
      </c>
      <c r="R160" s="128" t="str">
        <f t="shared" si="20"/>
        <v/>
      </c>
      <c r="S160" s="115"/>
      <c r="T160" s="99">
        <v>1</v>
      </c>
      <c r="U160" s="99">
        <v>1</v>
      </c>
      <c r="V160" s="99">
        <v>1</v>
      </c>
      <c r="W160" s="99">
        <v>0</v>
      </c>
      <c r="X160" t="s">
        <v>16</v>
      </c>
      <c r="AC160"/>
      <c r="AD160"/>
    </row>
    <row r="161" spans="1:30" x14ac:dyDescent="0.3">
      <c r="A161" s="4">
        <v>557</v>
      </c>
      <c r="B161" s="8">
        <v>-29.67</v>
      </c>
      <c r="C161" s="8">
        <v>-29.39</v>
      </c>
      <c r="D161" s="6">
        <f t="shared" si="17"/>
        <v>-28.975000000000001</v>
      </c>
      <c r="E161" s="8">
        <v>-29.08</v>
      </c>
      <c r="F161" s="8">
        <v>-28.73</v>
      </c>
      <c r="G161" s="8">
        <v>-29.22</v>
      </c>
      <c r="H161" s="6"/>
      <c r="I161" s="6"/>
      <c r="J161" s="6" t="s">
        <v>18</v>
      </c>
      <c r="K161" s="32">
        <f t="shared" si="16"/>
        <v>-29.177499999999998</v>
      </c>
      <c r="L161" s="32">
        <v>-0.10499999999999687</v>
      </c>
      <c r="M161" s="32">
        <v>0.41499999999999915</v>
      </c>
      <c r="N161" s="32">
        <v>0.28000000000000114</v>
      </c>
      <c r="O161" s="32">
        <v>0.50250000000000128</v>
      </c>
      <c r="P161" s="128">
        <f t="shared" si="18"/>
        <v>0.59000000000000341</v>
      </c>
      <c r="Q161" s="128">
        <f t="shared" si="19"/>
        <v>0.31000000000000227</v>
      </c>
      <c r="R161" s="128">
        <f t="shared" si="20"/>
        <v>0.45000000000000284</v>
      </c>
      <c r="S161" s="115">
        <v>0</v>
      </c>
      <c r="T161" s="99">
        <v>0</v>
      </c>
      <c r="U161" s="99">
        <v>0</v>
      </c>
      <c r="V161" s="99">
        <v>0</v>
      </c>
      <c r="W161" s="99">
        <v>0</v>
      </c>
      <c r="X161" t="s">
        <v>16</v>
      </c>
      <c r="AC161"/>
      <c r="AD161"/>
    </row>
    <row r="162" spans="1:30" x14ac:dyDescent="0.3">
      <c r="A162" s="4">
        <v>558</v>
      </c>
      <c r="B162" s="8">
        <v>-29.63009697374796</v>
      </c>
      <c r="C162" s="8">
        <v>-31.920757860592257</v>
      </c>
      <c r="D162" s="6">
        <f t="shared" si="17"/>
        <v>-29.51180556872356</v>
      </c>
      <c r="E162" s="6"/>
      <c r="F162" s="8">
        <v>-29.820830116829242</v>
      </c>
      <c r="G162" s="8">
        <v>-29.202781020617881</v>
      </c>
      <c r="H162" s="6"/>
      <c r="I162" s="6"/>
      <c r="J162" s="6" t="s">
        <v>18</v>
      </c>
      <c r="K162" s="32">
        <f t="shared" si="16"/>
        <v>-30.017254308102178</v>
      </c>
      <c r="L162" s="32">
        <v>29.51180556872356</v>
      </c>
      <c r="M162" s="32">
        <v>2.4089522918686974</v>
      </c>
      <c r="N162" s="32">
        <v>-2.2906608868442966</v>
      </c>
      <c r="O162" s="32">
        <v>1.2636218484465473</v>
      </c>
      <c r="P162" s="128" t="str">
        <f t="shared" si="18"/>
        <v/>
      </c>
      <c r="Q162" s="128" t="str">
        <f t="shared" si="19"/>
        <v/>
      </c>
      <c r="R162" s="128" t="str">
        <f t="shared" si="20"/>
        <v/>
      </c>
      <c r="S162" s="115"/>
      <c r="T162" s="99">
        <v>1</v>
      </c>
      <c r="U162" s="99">
        <v>1</v>
      </c>
      <c r="V162" s="99">
        <v>1</v>
      </c>
      <c r="X162" t="s">
        <v>16</v>
      </c>
      <c r="AC162"/>
      <c r="AD162"/>
    </row>
    <row r="163" spans="1:30" x14ac:dyDescent="0.3">
      <c r="A163" s="4">
        <v>559</v>
      </c>
      <c r="B163" s="8">
        <v>-29.37</v>
      </c>
      <c r="C163" s="8">
        <v>-28.93</v>
      </c>
      <c r="D163" s="6">
        <f t="shared" ref="D163:D194" si="21">IF(AND(ISBLANK(F163),ISBLANK(G163)),"",IF(ISBLANK(F163),G163,IF(ISBLANK(G163),F163,(G163+F163)/2)))</f>
        <v>-28.414999999999999</v>
      </c>
      <c r="E163" s="6"/>
      <c r="F163" s="8">
        <v>-28.33</v>
      </c>
      <c r="G163" s="8">
        <v>-28.5</v>
      </c>
      <c r="H163" s="8">
        <v>-30.650318430776366</v>
      </c>
      <c r="I163" s="8"/>
      <c r="J163" s="6" t="s">
        <v>18</v>
      </c>
      <c r="K163" s="32">
        <f t="shared" si="16"/>
        <v>-28.709000000000003</v>
      </c>
      <c r="L163" s="32">
        <v>28.414999999999999</v>
      </c>
      <c r="M163" s="32">
        <v>0.51500000000000057</v>
      </c>
      <c r="N163" s="32">
        <v>0.44000000000000128</v>
      </c>
      <c r="O163" s="32">
        <v>0.73499999999999943</v>
      </c>
      <c r="P163" s="128" t="str">
        <f t="shared" si="18"/>
        <v/>
      </c>
      <c r="Q163" s="128" t="str">
        <f t="shared" si="19"/>
        <v/>
      </c>
      <c r="R163" s="128" t="str">
        <f t="shared" si="20"/>
        <v/>
      </c>
      <c r="S163" s="115">
        <v>0</v>
      </c>
      <c r="T163" s="99">
        <v>0</v>
      </c>
      <c r="U163" s="99">
        <v>0</v>
      </c>
      <c r="W163" s="99">
        <v>0</v>
      </c>
      <c r="X163" t="s">
        <v>16</v>
      </c>
      <c r="AC163"/>
      <c r="AD163"/>
    </row>
    <row r="164" spans="1:30" x14ac:dyDescent="0.3">
      <c r="A164" s="4">
        <v>560</v>
      </c>
      <c r="B164" s="8">
        <v>-29.766722129819286</v>
      </c>
      <c r="C164" s="8">
        <v>-29.24</v>
      </c>
      <c r="D164" s="6">
        <f t="shared" si="21"/>
        <v>-28.630000000000003</v>
      </c>
      <c r="E164" s="8">
        <v>-29.21</v>
      </c>
      <c r="F164" s="8">
        <v>-28.78</v>
      </c>
      <c r="G164" s="8">
        <v>-28.48</v>
      </c>
      <c r="H164" s="6"/>
      <c r="I164" s="6"/>
      <c r="J164" s="6" t="s">
        <v>18</v>
      </c>
      <c r="K164" s="32">
        <f t="shared" si="16"/>
        <v>-29.017787021636547</v>
      </c>
      <c r="L164" s="32">
        <v>-0.57999999999999829</v>
      </c>
      <c r="M164" s="32">
        <v>0.60999999999999588</v>
      </c>
      <c r="N164" s="32">
        <v>0.52672212981928723</v>
      </c>
      <c r="O164" s="32">
        <v>0.58336106490963857</v>
      </c>
      <c r="P164" s="128">
        <f t="shared" si="18"/>
        <v>0.55672212981928482</v>
      </c>
      <c r="Q164" s="128">
        <f t="shared" si="19"/>
        <v>2.9999999999997584E-2</v>
      </c>
      <c r="R164" s="128">
        <f t="shared" si="20"/>
        <v>0.29336106490963942</v>
      </c>
      <c r="S164" s="115">
        <v>0</v>
      </c>
      <c r="T164" s="99">
        <v>0</v>
      </c>
      <c r="U164" s="99">
        <v>0</v>
      </c>
      <c r="V164" s="99">
        <v>0</v>
      </c>
      <c r="W164" s="99">
        <v>0</v>
      </c>
      <c r="X164" t="s">
        <v>16</v>
      </c>
      <c r="AC164"/>
      <c r="AD164"/>
    </row>
    <row r="165" spans="1:30" x14ac:dyDescent="0.3">
      <c r="A165" s="4">
        <v>561</v>
      </c>
      <c r="B165" s="8">
        <v>-29.64</v>
      </c>
      <c r="C165" s="8">
        <v>-29.78</v>
      </c>
      <c r="D165" s="6">
        <f t="shared" si="21"/>
        <v>-29.335000000000001</v>
      </c>
      <c r="E165" s="8">
        <v>-28.91</v>
      </c>
      <c r="F165" s="8">
        <v>-29.2</v>
      </c>
      <c r="G165" s="8">
        <v>-29.47</v>
      </c>
      <c r="H165" s="6"/>
      <c r="I165" s="6"/>
      <c r="J165" s="6" t="s">
        <v>18</v>
      </c>
      <c r="K165" s="32">
        <f t="shared" si="16"/>
        <v>-29.389166666666664</v>
      </c>
      <c r="L165" s="32">
        <v>0.42500000000000071</v>
      </c>
      <c r="M165" s="32">
        <v>0.44500000000000028</v>
      </c>
      <c r="N165" s="32">
        <v>-0.14000000000000057</v>
      </c>
      <c r="O165" s="32">
        <v>0.58749999999999858</v>
      </c>
      <c r="P165" s="128">
        <f t="shared" si="18"/>
        <v>0.44500000000000028</v>
      </c>
      <c r="Q165" s="128">
        <f t="shared" si="19"/>
        <v>0.30499999999999972</v>
      </c>
      <c r="R165" s="128">
        <f t="shared" si="20"/>
        <v>0.375</v>
      </c>
      <c r="S165" s="115">
        <v>0</v>
      </c>
      <c r="T165" s="99">
        <v>1</v>
      </c>
      <c r="U165" s="99">
        <v>1</v>
      </c>
      <c r="V165" s="99">
        <v>1</v>
      </c>
      <c r="W165" s="99">
        <v>0</v>
      </c>
      <c r="X165" t="s">
        <v>16</v>
      </c>
      <c r="AC165"/>
      <c r="AD165"/>
    </row>
    <row r="166" spans="1:30" x14ac:dyDescent="0.3">
      <c r="A166" s="4">
        <v>564</v>
      </c>
      <c r="B166" s="8">
        <v>-28.42</v>
      </c>
      <c r="C166" s="8">
        <v>-28.15</v>
      </c>
      <c r="D166" s="6">
        <f t="shared" si="21"/>
        <v>-27.53</v>
      </c>
      <c r="E166" s="6"/>
      <c r="F166" s="8">
        <v>-27.92</v>
      </c>
      <c r="G166" s="8">
        <v>-27.14</v>
      </c>
      <c r="H166" s="8">
        <v>-29.701240256096959</v>
      </c>
      <c r="I166" s="8"/>
      <c r="J166" s="6" t="s">
        <v>11</v>
      </c>
      <c r="K166" s="32">
        <f t="shared" si="16"/>
        <v>-27.832000000000001</v>
      </c>
      <c r="L166" s="32">
        <v>27.53</v>
      </c>
      <c r="M166" s="32">
        <v>0.61999999999999744</v>
      </c>
      <c r="N166" s="32">
        <v>0.27000000000000313</v>
      </c>
      <c r="O166" s="32">
        <v>0.75499999999999901</v>
      </c>
      <c r="P166" s="128" t="str">
        <f t="shared" si="18"/>
        <v/>
      </c>
      <c r="Q166" s="128" t="str">
        <f t="shared" si="19"/>
        <v/>
      </c>
      <c r="R166" s="128" t="str">
        <f t="shared" si="20"/>
        <v/>
      </c>
      <c r="S166" s="115">
        <v>0</v>
      </c>
      <c r="T166" s="99">
        <v>0</v>
      </c>
      <c r="U166" s="99">
        <v>0</v>
      </c>
      <c r="V166" s="99">
        <v>0</v>
      </c>
      <c r="X166" t="s">
        <v>16</v>
      </c>
      <c r="AC166"/>
      <c r="AD166"/>
    </row>
    <row r="167" spans="1:30" x14ac:dyDescent="0.3">
      <c r="A167" s="4">
        <v>565</v>
      </c>
      <c r="B167" s="8">
        <v>-28.17</v>
      </c>
      <c r="C167" s="8">
        <v>-26.41</v>
      </c>
      <c r="D167" s="6">
        <f t="shared" si="21"/>
        <v>-27.62</v>
      </c>
      <c r="E167" s="8">
        <v>-24.99</v>
      </c>
      <c r="F167" s="8">
        <v>-28.23</v>
      </c>
      <c r="G167" s="8">
        <v>-27.01</v>
      </c>
      <c r="H167" s="8">
        <v>-26.226686943722598</v>
      </c>
      <c r="I167" s="8"/>
      <c r="J167" s="6" t="s">
        <v>11</v>
      </c>
      <c r="K167" s="32">
        <f t="shared" si="16"/>
        <v>-27.071666666666662</v>
      </c>
      <c r="L167" s="32">
        <v>2.6300000000000026</v>
      </c>
      <c r="M167" s="32">
        <v>-1.2100000000000009</v>
      </c>
      <c r="N167" s="32">
        <v>1.7600000000000016</v>
      </c>
      <c r="O167" s="32">
        <v>0.98499999999999943</v>
      </c>
      <c r="P167" s="128">
        <f t="shared" si="18"/>
        <v>0.55000000000000071</v>
      </c>
      <c r="Q167" s="128">
        <f t="shared" si="19"/>
        <v>-1.2100000000000009</v>
      </c>
      <c r="R167" s="128">
        <f t="shared" si="20"/>
        <v>-0.33000000000000185</v>
      </c>
      <c r="S167" s="115">
        <v>1</v>
      </c>
      <c r="T167" s="116">
        <v>0</v>
      </c>
      <c r="U167" s="116">
        <v>0</v>
      </c>
      <c r="V167" s="116">
        <v>0</v>
      </c>
      <c r="W167" s="116">
        <v>0</v>
      </c>
      <c r="X167" s="6" t="s">
        <v>16</v>
      </c>
      <c r="AC167"/>
      <c r="AD167"/>
    </row>
    <row r="168" spans="1:30" x14ac:dyDescent="0.3">
      <c r="A168" s="4">
        <v>566</v>
      </c>
      <c r="B168" s="8">
        <v>-28.494846216531251</v>
      </c>
      <c r="C168" s="8">
        <v>-26.14</v>
      </c>
      <c r="D168" s="6">
        <f t="shared" si="21"/>
        <v>-26.425000000000001</v>
      </c>
      <c r="E168" s="8">
        <v>-25.66</v>
      </c>
      <c r="F168" s="8">
        <v>-26.53</v>
      </c>
      <c r="G168" s="8">
        <v>-26.32</v>
      </c>
      <c r="H168" s="8">
        <v>-27.286741696309107</v>
      </c>
      <c r="I168" s="8"/>
      <c r="J168" s="6" t="s">
        <v>11</v>
      </c>
      <c r="K168" s="32">
        <f t="shared" si="16"/>
        <v>-26.594974369421873</v>
      </c>
      <c r="L168" s="32">
        <v>0.76500000000000057</v>
      </c>
      <c r="M168" s="32">
        <v>-0.28500000000000014</v>
      </c>
      <c r="N168" s="32">
        <v>2.35484621653125</v>
      </c>
      <c r="O168" s="32">
        <v>1.2749231082656252</v>
      </c>
      <c r="P168" s="128">
        <f t="shared" si="18"/>
        <v>2.0698462165312499</v>
      </c>
      <c r="Q168" s="128">
        <f t="shared" si="19"/>
        <v>-0.28500000000000014</v>
      </c>
      <c r="R168" s="128">
        <f t="shared" si="20"/>
        <v>0.89242310826562488</v>
      </c>
      <c r="S168" s="115">
        <v>0</v>
      </c>
      <c r="T168" s="116">
        <v>0</v>
      </c>
      <c r="U168" s="116">
        <v>0</v>
      </c>
      <c r="V168" s="116">
        <v>0</v>
      </c>
      <c r="W168" s="116">
        <v>1</v>
      </c>
      <c r="X168" s="6" t="s">
        <v>16</v>
      </c>
      <c r="AC168"/>
      <c r="AD168"/>
    </row>
    <row r="169" spans="1:30" x14ac:dyDescent="0.3">
      <c r="A169" s="4">
        <v>567</v>
      </c>
      <c r="B169" s="8">
        <v>-27.01</v>
      </c>
      <c r="C169" s="8">
        <v>-28.34</v>
      </c>
      <c r="D169" s="6">
        <f t="shared" si="21"/>
        <v>-26.994999999999997</v>
      </c>
      <c r="E169" s="6"/>
      <c r="F169" s="8">
        <v>-26.99</v>
      </c>
      <c r="G169" s="8">
        <v>-27</v>
      </c>
      <c r="H169" s="6"/>
      <c r="I169" s="6"/>
      <c r="J169" s="6" t="s">
        <v>11</v>
      </c>
      <c r="K169" s="32">
        <f t="shared" si="16"/>
        <v>-27.266999999999996</v>
      </c>
      <c r="L169" s="32">
        <v>26.994999999999997</v>
      </c>
      <c r="M169" s="32">
        <v>1.3450000000000024</v>
      </c>
      <c r="N169" s="32">
        <v>-1.3299999999999983</v>
      </c>
      <c r="O169" s="32">
        <v>0.68000000000000327</v>
      </c>
      <c r="P169" s="128" t="str">
        <f t="shared" si="18"/>
        <v/>
      </c>
      <c r="Q169" s="128" t="str">
        <f t="shared" si="19"/>
        <v/>
      </c>
      <c r="R169" s="128" t="str">
        <f t="shared" si="20"/>
        <v/>
      </c>
      <c r="S169" s="115"/>
      <c r="T169" s="99">
        <v>1</v>
      </c>
      <c r="U169" s="99">
        <v>1</v>
      </c>
      <c r="V169" s="99">
        <v>1</v>
      </c>
      <c r="X169" t="s">
        <v>16</v>
      </c>
      <c r="AC169"/>
      <c r="AD169"/>
    </row>
    <row r="170" spans="1:30" x14ac:dyDescent="0.3">
      <c r="A170" s="4">
        <v>568</v>
      </c>
      <c r="B170" s="8">
        <v>-30.856445736245561</v>
      </c>
      <c r="C170" s="8">
        <v>-29.29</v>
      </c>
      <c r="D170" s="6">
        <f t="shared" si="21"/>
        <v>-28.725000000000001</v>
      </c>
      <c r="E170" s="6"/>
      <c r="F170" s="8">
        <v>-28.52</v>
      </c>
      <c r="G170" s="8">
        <v>-28.93</v>
      </c>
      <c r="H170" s="6"/>
      <c r="I170" s="6"/>
      <c r="J170" s="6" t="s">
        <v>18</v>
      </c>
      <c r="K170" s="32">
        <f t="shared" si="16"/>
        <v>-29.264289147249109</v>
      </c>
      <c r="L170" s="32">
        <v>28.725000000000001</v>
      </c>
      <c r="M170" s="32">
        <v>0.56499999999999773</v>
      </c>
      <c r="N170" s="32">
        <v>1.5664457362455622</v>
      </c>
      <c r="O170" s="32">
        <v>1.3482228681227788</v>
      </c>
      <c r="P170" s="128" t="str">
        <f t="shared" si="18"/>
        <v/>
      </c>
      <c r="Q170" s="128" t="str">
        <f t="shared" si="19"/>
        <v/>
      </c>
      <c r="R170" s="128" t="str">
        <f t="shared" si="20"/>
        <v/>
      </c>
      <c r="S170" s="115">
        <v>0</v>
      </c>
      <c r="T170" s="99">
        <v>0</v>
      </c>
      <c r="U170" s="99">
        <v>0</v>
      </c>
      <c r="V170" s="99">
        <v>0</v>
      </c>
      <c r="X170" t="s">
        <v>16</v>
      </c>
      <c r="AC170"/>
      <c r="AD170"/>
    </row>
    <row r="171" spans="1:30" x14ac:dyDescent="0.3">
      <c r="A171" s="4">
        <v>570</v>
      </c>
      <c r="B171" s="8">
        <v>-26.19</v>
      </c>
      <c r="C171" s="8">
        <v>-25.04</v>
      </c>
      <c r="D171" s="6">
        <f t="shared" si="21"/>
        <v>-25.924999999999997</v>
      </c>
      <c r="E171" s="8">
        <v>-25.32</v>
      </c>
      <c r="F171" s="8">
        <v>-25.29</v>
      </c>
      <c r="G171" s="8">
        <v>-26.56</v>
      </c>
      <c r="H171" s="6"/>
      <c r="I171" s="6"/>
      <c r="J171" s="6" t="s">
        <v>11</v>
      </c>
      <c r="K171" s="32">
        <f t="shared" si="16"/>
        <v>-25.720833333333331</v>
      </c>
      <c r="L171" s="32">
        <v>0.60499999999999687</v>
      </c>
      <c r="M171" s="32">
        <v>-0.88499999999999801</v>
      </c>
      <c r="N171" s="32">
        <v>1.1500000000000021</v>
      </c>
      <c r="O171" s="32">
        <v>-7.4999999999967315E-3</v>
      </c>
      <c r="P171" s="128">
        <f t="shared" si="18"/>
        <v>0.26500000000000412</v>
      </c>
      <c r="Q171" s="128">
        <f t="shared" si="19"/>
        <v>-0.88499999999999801</v>
      </c>
      <c r="R171" s="128">
        <f t="shared" si="20"/>
        <v>-0.30999999999999517</v>
      </c>
      <c r="S171" s="115">
        <v>1</v>
      </c>
      <c r="T171" s="116">
        <v>0</v>
      </c>
      <c r="U171" s="116">
        <v>0</v>
      </c>
      <c r="V171" s="116">
        <v>0</v>
      </c>
      <c r="W171" s="116">
        <v>0</v>
      </c>
      <c r="X171" s="6" t="s">
        <v>16</v>
      </c>
      <c r="AC171"/>
      <c r="AD171"/>
    </row>
    <row r="172" spans="1:30" x14ac:dyDescent="0.3">
      <c r="A172" s="4">
        <v>572</v>
      </c>
      <c r="B172" s="8">
        <v>-29.052428370711276</v>
      </c>
      <c r="C172" s="8">
        <v>-29.893168965413139</v>
      </c>
      <c r="D172" s="6">
        <f t="shared" si="21"/>
        <v>-28.506063936063935</v>
      </c>
      <c r="E172" s="8">
        <v>-27.754340326340326</v>
      </c>
      <c r="F172" s="8">
        <v>-28.338700049950049</v>
      </c>
      <c r="G172" s="8">
        <v>-28.673427822177821</v>
      </c>
      <c r="H172" s="6"/>
      <c r="I172" s="6"/>
      <c r="J172" s="6" t="s">
        <v>18</v>
      </c>
      <c r="K172" s="32">
        <f t="shared" si="16"/>
        <v>-28.703021578442758</v>
      </c>
      <c r="L172" s="32">
        <v>0.75172360972360863</v>
      </c>
      <c r="M172" s="32">
        <v>1.387105029349204</v>
      </c>
      <c r="N172" s="32">
        <v>-0.84074059470186313</v>
      </c>
      <c r="O172" s="32">
        <v>1.342596536860075</v>
      </c>
      <c r="P172" s="128">
        <f t="shared" si="18"/>
        <v>1.387105029349204</v>
      </c>
      <c r="Q172" s="128">
        <f t="shared" si="19"/>
        <v>0.54636443464734086</v>
      </c>
      <c r="R172" s="128">
        <f t="shared" si="20"/>
        <v>0.96673473199827242</v>
      </c>
      <c r="S172" s="115">
        <v>0</v>
      </c>
      <c r="T172" s="116">
        <v>1</v>
      </c>
      <c r="U172" s="116">
        <v>1</v>
      </c>
      <c r="V172" s="116">
        <v>1</v>
      </c>
      <c r="W172" s="116">
        <v>0</v>
      </c>
      <c r="X172" s="6" t="s">
        <v>16</v>
      </c>
      <c r="AC172"/>
      <c r="AD172"/>
    </row>
    <row r="173" spans="1:30" x14ac:dyDescent="0.3">
      <c r="A173" s="4">
        <v>573</v>
      </c>
      <c r="B173" s="8">
        <v>-28.87</v>
      </c>
      <c r="C173" s="8">
        <v>-28.6</v>
      </c>
      <c r="D173" s="6">
        <f t="shared" si="21"/>
        <v>-27.574999999999999</v>
      </c>
      <c r="E173" s="8"/>
      <c r="F173" s="8">
        <v>-27.9</v>
      </c>
      <c r="G173" s="8">
        <v>-27.25</v>
      </c>
      <c r="H173" s="6"/>
      <c r="I173" s="6"/>
      <c r="J173" s="6" t="s">
        <v>11</v>
      </c>
      <c r="K173" s="32">
        <f t="shared" si="16"/>
        <v>-28.038999999999998</v>
      </c>
      <c r="L173" s="32">
        <v>27.574999999999999</v>
      </c>
      <c r="M173" s="32">
        <v>1.0250000000000021</v>
      </c>
      <c r="N173" s="32">
        <v>0.26999999999999957</v>
      </c>
      <c r="O173" s="32">
        <v>1.1600000000000001</v>
      </c>
      <c r="P173" s="128" t="str">
        <f t="shared" si="18"/>
        <v/>
      </c>
      <c r="Q173" s="128" t="str">
        <f t="shared" si="19"/>
        <v/>
      </c>
      <c r="R173" s="128" t="str">
        <f t="shared" si="20"/>
        <v/>
      </c>
      <c r="S173" s="115">
        <v>0</v>
      </c>
      <c r="T173" s="99">
        <v>0</v>
      </c>
      <c r="U173" s="99">
        <v>0</v>
      </c>
      <c r="V173" s="99">
        <v>0</v>
      </c>
      <c r="X173" t="s">
        <v>16</v>
      </c>
      <c r="AC173"/>
      <c r="AD173"/>
    </row>
    <row r="174" spans="1:30" x14ac:dyDescent="0.3">
      <c r="A174" s="4">
        <v>574</v>
      </c>
      <c r="B174" s="8">
        <v>-29.052428370711276</v>
      </c>
      <c r="C174" s="8">
        <v>-29.32990601571418</v>
      </c>
      <c r="D174" s="6">
        <f t="shared" si="21"/>
        <v>-28.041040348540349</v>
      </c>
      <c r="E174" s="8">
        <v>-27.766798201798203</v>
      </c>
      <c r="F174" s="8">
        <v>-28.395823065823066</v>
      </c>
      <c r="G174" s="8">
        <v>-27.686257631257632</v>
      </c>
      <c r="H174" s="8">
        <v>-29.397308618486321</v>
      </c>
      <c r="I174" s="8"/>
      <c r="J174" s="6" t="s">
        <v>11</v>
      </c>
      <c r="K174" s="32">
        <f t="shared" si="16"/>
        <v>-28.378708938974118</v>
      </c>
      <c r="L174" s="32">
        <v>0.27424214674214653</v>
      </c>
      <c r="M174" s="32">
        <v>1.2888656671738303</v>
      </c>
      <c r="N174" s="32">
        <v>-0.27747764500290373</v>
      </c>
      <c r="O174" s="32">
        <v>1.2872479180434517</v>
      </c>
      <c r="P174" s="128">
        <f t="shared" si="18"/>
        <v>1.2888656671738303</v>
      </c>
      <c r="Q174" s="128">
        <f t="shared" si="19"/>
        <v>1.0113880221709266</v>
      </c>
      <c r="R174" s="128">
        <f t="shared" si="20"/>
        <v>1.1501268446723785</v>
      </c>
      <c r="S174" s="115">
        <v>0</v>
      </c>
      <c r="T174" s="99">
        <v>1</v>
      </c>
      <c r="U174" s="99">
        <v>1</v>
      </c>
      <c r="V174" s="99">
        <v>1</v>
      </c>
      <c r="W174" s="99">
        <v>0</v>
      </c>
      <c r="X174" t="s">
        <v>16</v>
      </c>
      <c r="AC174"/>
      <c r="AD174"/>
    </row>
    <row r="175" spans="1:30" x14ac:dyDescent="0.3">
      <c r="A175" s="4">
        <v>577</v>
      </c>
      <c r="B175" s="8">
        <v>-26.77</v>
      </c>
      <c r="C175" s="8">
        <v>-27.87</v>
      </c>
      <c r="D175" s="6">
        <f t="shared" si="21"/>
        <v>-27.524999999999999</v>
      </c>
      <c r="E175" s="6"/>
      <c r="F175" s="8">
        <v>-28.46</v>
      </c>
      <c r="G175" s="8">
        <v>-26.59</v>
      </c>
      <c r="H175" s="6"/>
      <c r="I175" s="6"/>
      <c r="J175" s="6" t="s">
        <v>11</v>
      </c>
      <c r="K175" s="32">
        <f t="shared" si="16"/>
        <v>-27.443000000000001</v>
      </c>
      <c r="L175" s="32">
        <v>27.524999999999999</v>
      </c>
      <c r="M175" s="32">
        <v>0.34500000000000242</v>
      </c>
      <c r="N175" s="32">
        <v>-1.1000000000000014</v>
      </c>
      <c r="O175" s="32">
        <v>-0.20499999999999829</v>
      </c>
      <c r="P175" s="128" t="str">
        <f t="shared" si="18"/>
        <v/>
      </c>
      <c r="Q175" s="128" t="str">
        <f t="shared" si="19"/>
        <v/>
      </c>
      <c r="R175" s="128" t="str">
        <f t="shared" si="20"/>
        <v/>
      </c>
      <c r="S175" s="115"/>
      <c r="T175" s="99">
        <v>1</v>
      </c>
      <c r="U175" s="99">
        <v>1</v>
      </c>
      <c r="V175" s="99">
        <v>1</v>
      </c>
      <c r="W175" s="99">
        <v>0</v>
      </c>
      <c r="X175" t="s">
        <v>16</v>
      </c>
      <c r="AC175"/>
      <c r="AD175"/>
    </row>
    <row r="176" spans="1:30" x14ac:dyDescent="0.3">
      <c r="A176" s="4">
        <v>578</v>
      </c>
      <c r="B176" s="8">
        <v>-27.9157972664655</v>
      </c>
      <c r="C176" s="8">
        <v>-27.017635544611132</v>
      </c>
      <c r="D176" s="6">
        <f t="shared" si="21"/>
        <v>-26.604668104210027</v>
      </c>
      <c r="E176" s="8">
        <v>-26.938865830906487</v>
      </c>
      <c r="F176" s="8">
        <v>-25.750101452083829</v>
      </c>
      <c r="G176" s="8">
        <v>-27.459234756336222</v>
      </c>
      <c r="H176" s="6"/>
      <c r="I176" s="6"/>
      <c r="J176" s="6" t="s">
        <v>11</v>
      </c>
      <c r="K176" s="32">
        <f t="shared" si="16"/>
        <v>-26.947717159102201</v>
      </c>
      <c r="L176" s="32">
        <v>-0.33419772669645909</v>
      </c>
      <c r="M176" s="32">
        <v>0.41296744040110411</v>
      </c>
      <c r="N176" s="32">
        <v>0.89816172185436827</v>
      </c>
      <c r="O176" s="32">
        <v>0.69494943798005693</v>
      </c>
      <c r="P176" s="128">
        <f t="shared" si="18"/>
        <v>0.97693143555901329</v>
      </c>
      <c r="Q176" s="128">
        <f t="shared" si="19"/>
        <v>7.8769713704645028E-2</v>
      </c>
      <c r="R176" s="128">
        <f t="shared" si="20"/>
        <v>0.52785057463182739</v>
      </c>
      <c r="S176" s="115">
        <v>0</v>
      </c>
      <c r="T176" s="99">
        <v>0</v>
      </c>
      <c r="U176" s="99">
        <v>0</v>
      </c>
      <c r="V176" s="99">
        <v>0</v>
      </c>
      <c r="W176" s="99">
        <v>0</v>
      </c>
      <c r="X176" t="s">
        <v>16</v>
      </c>
      <c r="AC176"/>
      <c r="AD176"/>
    </row>
    <row r="177" spans="1:30" s="58" customFormat="1" x14ac:dyDescent="0.3">
      <c r="A177" s="60">
        <v>579</v>
      </c>
      <c r="B177" s="61">
        <v>-29.2</v>
      </c>
      <c r="C177" s="61">
        <v>-28.893360082911727</v>
      </c>
      <c r="D177" s="54">
        <f t="shared" si="21"/>
        <v>-25.947963425463424</v>
      </c>
      <c r="E177" s="54"/>
      <c r="F177" s="61">
        <v>-24.970901875901873</v>
      </c>
      <c r="G177" s="61">
        <v>-26.925024975024975</v>
      </c>
      <c r="H177" s="54"/>
      <c r="I177" s="54"/>
      <c r="J177" s="6" t="s">
        <v>11</v>
      </c>
      <c r="K177" s="57">
        <f t="shared" si="16"/>
        <v>-27.1874500718604</v>
      </c>
      <c r="L177" s="32">
        <v>25.947963425463424</v>
      </c>
      <c r="M177" s="32">
        <v>2.9453966574483026</v>
      </c>
      <c r="N177" s="32">
        <v>0.30663991708827254</v>
      </c>
      <c r="O177" s="32">
        <v>3.0987166159924406</v>
      </c>
      <c r="P177" s="128" t="str">
        <f t="shared" si="18"/>
        <v/>
      </c>
      <c r="Q177" s="128" t="str">
        <f t="shared" si="19"/>
        <v/>
      </c>
      <c r="R177" s="128" t="str">
        <f t="shared" si="20"/>
        <v/>
      </c>
      <c r="S177" s="117"/>
      <c r="T177" s="114"/>
      <c r="U177" s="114"/>
      <c r="V177" s="114"/>
      <c r="W177" s="114"/>
      <c r="X177" s="58" t="s">
        <v>17</v>
      </c>
      <c r="Y177"/>
    </row>
    <row r="178" spans="1:30" x14ac:dyDescent="0.3">
      <c r="A178" s="4">
        <v>580</v>
      </c>
      <c r="B178" s="8">
        <v>-27.69</v>
      </c>
      <c r="C178" s="8">
        <v>-25.97</v>
      </c>
      <c r="D178" s="6">
        <f t="shared" si="21"/>
        <v>-26.57</v>
      </c>
      <c r="E178" s="8">
        <v>-24.32</v>
      </c>
      <c r="F178" s="8">
        <v>-26.53</v>
      </c>
      <c r="G178" s="8">
        <v>-26.61</v>
      </c>
      <c r="H178" s="8">
        <v>-26.349165782132602</v>
      </c>
      <c r="I178" s="8"/>
      <c r="J178" s="6" t="s">
        <v>11</v>
      </c>
      <c r="K178" s="32">
        <f t="shared" si="16"/>
        <v>-26.281666666666666</v>
      </c>
      <c r="L178" s="32">
        <v>2.25</v>
      </c>
      <c r="M178" s="32">
        <v>-0.60000000000000142</v>
      </c>
      <c r="N178" s="32">
        <v>1.7200000000000024</v>
      </c>
      <c r="O178" s="32">
        <v>1.384999999999998</v>
      </c>
      <c r="P178" s="128">
        <f t="shared" si="18"/>
        <v>1.120000000000001</v>
      </c>
      <c r="Q178" s="128">
        <f t="shared" si="19"/>
        <v>-0.60000000000000142</v>
      </c>
      <c r="R178" s="128">
        <f t="shared" si="20"/>
        <v>0.25999999999999801</v>
      </c>
      <c r="S178" s="115">
        <v>1</v>
      </c>
      <c r="T178" s="99">
        <v>0</v>
      </c>
      <c r="U178" s="99">
        <v>0</v>
      </c>
      <c r="V178" s="99">
        <v>0</v>
      </c>
      <c r="W178" s="99">
        <v>0</v>
      </c>
      <c r="X178" t="s">
        <v>16</v>
      </c>
      <c r="AC178"/>
      <c r="AD178"/>
    </row>
    <row r="179" spans="1:30" x14ac:dyDescent="0.3">
      <c r="A179" s="4">
        <v>581</v>
      </c>
      <c r="B179" s="8">
        <v>-29.891366736327534</v>
      </c>
      <c r="C179" s="8">
        <v>-29.711952514965777</v>
      </c>
      <c r="D179" s="6">
        <f t="shared" si="21"/>
        <v>-29.590040339718435</v>
      </c>
      <c r="E179" s="8">
        <v>-29.59</v>
      </c>
      <c r="F179" s="8">
        <v>-29.758787913551842</v>
      </c>
      <c r="G179" s="8">
        <v>-29.421292765885024</v>
      </c>
      <c r="H179" s="8">
        <v>-29.860242388997769</v>
      </c>
      <c r="I179" s="8"/>
      <c r="J179" s="6" t="s">
        <v>18</v>
      </c>
      <c r="K179" s="32">
        <f t="shared" si="16"/>
        <v>-29.660573378408106</v>
      </c>
      <c r="L179" s="32">
        <v>4.0339718434978522E-5</v>
      </c>
      <c r="M179" s="32">
        <v>0.12191217524734199</v>
      </c>
      <c r="N179" s="32">
        <v>0.17941422136175689</v>
      </c>
      <c r="O179" s="32">
        <v>0.21163945578744148</v>
      </c>
      <c r="P179" s="128">
        <f t="shared" si="18"/>
        <v>0.30132639660909888</v>
      </c>
      <c r="Q179" s="128">
        <f t="shared" si="19"/>
        <v>0.12191217524734199</v>
      </c>
      <c r="R179" s="128">
        <f t="shared" si="20"/>
        <v>0.21161928592822221</v>
      </c>
      <c r="S179" s="115">
        <v>0</v>
      </c>
      <c r="T179" s="99">
        <v>0</v>
      </c>
      <c r="U179" s="99">
        <v>0</v>
      </c>
      <c r="V179" s="99">
        <v>0</v>
      </c>
      <c r="W179" s="99">
        <v>0</v>
      </c>
      <c r="X179" t="s">
        <v>16</v>
      </c>
      <c r="AC179"/>
      <c r="AD179"/>
    </row>
    <row r="180" spans="1:30" x14ac:dyDescent="0.3">
      <c r="A180" s="4">
        <v>582</v>
      </c>
      <c r="B180" s="8">
        <v>-29.958329791757642</v>
      </c>
      <c r="C180" s="8">
        <v>-29.04</v>
      </c>
      <c r="D180" s="6">
        <f t="shared" si="21"/>
        <v>-28.41</v>
      </c>
      <c r="E180" s="8">
        <v>-28.99</v>
      </c>
      <c r="F180" s="8">
        <v>-28.48</v>
      </c>
      <c r="G180" s="8">
        <v>-28.34</v>
      </c>
      <c r="H180" s="8">
        <v>-29.88552073080313</v>
      </c>
      <c r="I180" s="8"/>
      <c r="J180" s="6" t="s">
        <v>18</v>
      </c>
      <c r="K180" s="32">
        <f t="shared" si="16"/>
        <v>-28.869721631959607</v>
      </c>
      <c r="L180" s="32">
        <v>-0.57999999999999829</v>
      </c>
      <c r="M180" s="32">
        <v>0.62999999999999901</v>
      </c>
      <c r="N180" s="32">
        <v>0.91832979175764251</v>
      </c>
      <c r="O180" s="32">
        <v>0.79916489587882111</v>
      </c>
      <c r="P180" s="128">
        <f t="shared" si="18"/>
        <v>0.96832979175764322</v>
      </c>
      <c r="Q180" s="128">
        <f t="shared" si="19"/>
        <v>5.0000000000000711E-2</v>
      </c>
      <c r="R180" s="128">
        <f t="shared" si="20"/>
        <v>0.50916489587882197</v>
      </c>
      <c r="S180" s="115">
        <v>0</v>
      </c>
      <c r="T180" s="99">
        <v>0</v>
      </c>
      <c r="U180" s="99">
        <v>0</v>
      </c>
      <c r="V180" s="99">
        <v>0</v>
      </c>
      <c r="W180" s="99">
        <v>0</v>
      </c>
      <c r="X180" t="s">
        <v>16</v>
      </c>
      <c r="AC180"/>
      <c r="AD180"/>
    </row>
    <row r="181" spans="1:30" x14ac:dyDescent="0.3">
      <c r="A181" s="4">
        <v>583</v>
      </c>
      <c r="B181" s="8">
        <v>-29.483367173995646</v>
      </c>
      <c r="C181" s="8">
        <v>-28.34</v>
      </c>
      <c r="D181" s="6">
        <f t="shared" si="21"/>
        <v>-27.87</v>
      </c>
      <c r="E181" s="8">
        <v>-28.54</v>
      </c>
      <c r="F181" s="8">
        <v>-28.05</v>
      </c>
      <c r="G181" s="8">
        <v>-27.69</v>
      </c>
      <c r="H181" s="8">
        <v>-29.404422533278453</v>
      </c>
      <c r="I181" s="8"/>
      <c r="J181" s="6" t="s">
        <v>18</v>
      </c>
      <c r="K181" s="32">
        <f t="shared" si="16"/>
        <v>-28.328894528999275</v>
      </c>
      <c r="L181" s="32">
        <v>-0.66999999999999815</v>
      </c>
      <c r="M181" s="32">
        <v>0.46999999999999886</v>
      </c>
      <c r="N181" s="32">
        <v>1.1433671739956459</v>
      </c>
      <c r="O181" s="32">
        <v>0.7066835869978263</v>
      </c>
      <c r="P181" s="128">
        <f t="shared" si="18"/>
        <v>0.94336717399564662</v>
      </c>
      <c r="Q181" s="128">
        <f t="shared" si="19"/>
        <v>-0.19999999999999929</v>
      </c>
      <c r="R181" s="128">
        <f t="shared" si="20"/>
        <v>0.37168358699782544</v>
      </c>
      <c r="S181" s="115">
        <v>0</v>
      </c>
      <c r="T181" s="99">
        <v>0</v>
      </c>
      <c r="U181" s="99">
        <v>0</v>
      </c>
      <c r="V181" s="99">
        <v>0</v>
      </c>
      <c r="W181" s="99">
        <v>0</v>
      </c>
      <c r="X181" t="s">
        <v>16</v>
      </c>
      <c r="AC181"/>
      <c r="AD181"/>
    </row>
    <row r="182" spans="1:30" x14ac:dyDescent="0.3">
      <c r="A182" s="4">
        <v>584</v>
      </c>
      <c r="B182" s="8">
        <v>-27.59</v>
      </c>
      <c r="C182" s="8">
        <v>-25.79</v>
      </c>
      <c r="D182" s="6">
        <f t="shared" si="21"/>
        <v>-26.92</v>
      </c>
      <c r="E182" s="8">
        <v>-24.51</v>
      </c>
      <c r="F182" s="8">
        <v>-26.63</v>
      </c>
      <c r="G182" s="8">
        <v>-27.21</v>
      </c>
      <c r="H182" s="8">
        <v>-27.136992520559183</v>
      </c>
      <c r="I182" s="8"/>
      <c r="J182" s="6" t="s">
        <v>11</v>
      </c>
      <c r="K182" s="32">
        <f t="shared" si="16"/>
        <v>-26.441666666666666</v>
      </c>
      <c r="L182" s="32">
        <v>2.41</v>
      </c>
      <c r="M182" s="32">
        <v>-1.1300000000000026</v>
      </c>
      <c r="N182" s="32">
        <v>1.8000000000000007</v>
      </c>
      <c r="O182" s="32">
        <v>0.97499999999999432</v>
      </c>
      <c r="P182" s="128">
        <f t="shared" si="18"/>
        <v>0.66999999999999815</v>
      </c>
      <c r="Q182" s="128">
        <f t="shared" si="19"/>
        <v>-1.1300000000000026</v>
      </c>
      <c r="R182" s="128">
        <f t="shared" si="20"/>
        <v>-0.23000000000000398</v>
      </c>
      <c r="S182" s="115">
        <v>1</v>
      </c>
      <c r="T182" s="99">
        <v>0</v>
      </c>
      <c r="U182" s="99">
        <v>0</v>
      </c>
      <c r="V182" s="99">
        <v>0</v>
      </c>
      <c r="W182" s="99">
        <v>0</v>
      </c>
      <c r="X182" t="s">
        <v>16</v>
      </c>
      <c r="AC182"/>
      <c r="AD182"/>
    </row>
    <row r="183" spans="1:30" x14ac:dyDescent="0.3">
      <c r="A183" s="4">
        <v>585</v>
      </c>
      <c r="B183" s="8">
        <v>-28.72</v>
      </c>
      <c r="C183" s="8">
        <v>-27.74</v>
      </c>
      <c r="D183" s="6">
        <f t="shared" si="21"/>
        <v>-27.990000000000002</v>
      </c>
      <c r="E183" s="8">
        <v>-28.49</v>
      </c>
      <c r="F183" s="8">
        <v>-27.91</v>
      </c>
      <c r="G183" s="8">
        <v>-28.07</v>
      </c>
      <c r="H183" s="8">
        <v>-29.546958278875827</v>
      </c>
      <c r="I183" s="8"/>
      <c r="J183" s="6" t="s">
        <v>18</v>
      </c>
      <c r="K183" s="32">
        <f t="shared" si="16"/>
        <v>-28.153333333333332</v>
      </c>
      <c r="L183" s="32">
        <v>-0.49999999999999645</v>
      </c>
      <c r="M183" s="32">
        <v>-0.25000000000000355</v>
      </c>
      <c r="N183" s="32">
        <v>0.98000000000000043</v>
      </c>
      <c r="O183" s="32">
        <v>-1.0000000000005116E-2</v>
      </c>
      <c r="P183" s="128">
        <f t="shared" si="18"/>
        <v>0.23000000000000043</v>
      </c>
      <c r="Q183" s="128">
        <f t="shared" si="19"/>
        <v>-0.75</v>
      </c>
      <c r="R183" s="128">
        <f t="shared" si="20"/>
        <v>-0.26000000000000156</v>
      </c>
      <c r="S183" s="115">
        <v>0</v>
      </c>
      <c r="T183" s="99">
        <v>0</v>
      </c>
      <c r="U183" s="99">
        <v>0</v>
      </c>
      <c r="V183" s="99">
        <v>0</v>
      </c>
      <c r="W183" s="99">
        <v>0</v>
      </c>
      <c r="X183" t="s">
        <v>16</v>
      </c>
      <c r="AC183"/>
      <c r="AD183"/>
    </row>
    <row r="184" spans="1:30" x14ac:dyDescent="0.3">
      <c r="A184" s="4">
        <v>586</v>
      </c>
      <c r="B184" s="8">
        <v>-28.36</v>
      </c>
      <c r="C184" s="8">
        <v>-26.76</v>
      </c>
      <c r="D184" s="6">
        <f t="shared" si="21"/>
        <v>-26.57</v>
      </c>
      <c r="E184" s="8">
        <v>-26.38</v>
      </c>
      <c r="F184" s="8">
        <v>-26.57</v>
      </c>
      <c r="G184" s="8">
        <v>-26.57</v>
      </c>
      <c r="H184" s="6"/>
      <c r="I184" s="6"/>
      <c r="J184" s="6" t="s">
        <v>11</v>
      </c>
      <c r="K184" s="32">
        <f t="shared" si="16"/>
        <v>-26.868333333333329</v>
      </c>
      <c r="L184" s="32">
        <v>0.19000000000000128</v>
      </c>
      <c r="M184" s="32">
        <v>0.19000000000000128</v>
      </c>
      <c r="N184" s="32">
        <v>1.5999999999999979</v>
      </c>
      <c r="O184" s="32">
        <v>1.0850000000000009</v>
      </c>
      <c r="P184" s="128">
        <f t="shared" si="18"/>
        <v>1.7899999999999991</v>
      </c>
      <c r="Q184" s="128">
        <f t="shared" si="19"/>
        <v>0.19000000000000128</v>
      </c>
      <c r="R184" s="128">
        <f t="shared" si="20"/>
        <v>0.99000000000000199</v>
      </c>
      <c r="S184" s="115">
        <v>0</v>
      </c>
      <c r="T184" s="99">
        <v>0</v>
      </c>
      <c r="U184" s="99">
        <v>0</v>
      </c>
      <c r="V184" s="99">
        <v>0</v>
      </c>
      <c r="W184" s="99">
        <v>1</v>
      </c>
      <c r="X184" t="s">
        <v>16</v>
      </c>
      <c r="AC184"/>
      <c r="AD184"/>
    </row>
    <row r="185" spans="1:30" x14ac:dyDescent="0.3">
      <c r="A185" s="4">
        <v>587</v>
      </c>
      <c r="B185" s="8">
        <v>-28.633277063540913</v>
      </c>
      <c r="C185" s="8">
        <v>-25.7</v>
      </c>
      <c r="D185" s="6">
        <f t="shared" si="21"/>
        <v>-26.060000000000002</v>
      </c>
      <c r="E185" s="8">
        <v>-25.16</v>
      </c>
      <c r="F185" s="8">
        <v>-26.36</v>
      </c>
      <c r="G185" s="8">
        <v>-25.76</v>
      </c>
      <c r="H185" s="6"/>
      <c r="I185" s="6"/>
      <c r="J185" s="6" t="s">
        <v>11</v>
      </c>
      <c r="K185" s="32">
        <f t="shared" si="16"/>
        <v>-26.278879510590155</v>
      </c>
      <c r="L185" s="32">
        <v>0.90000000000000213</v>
      </c>
      <c r="M185" s="32">
        <v>-0.36000000000000298</v>
      </c>
      <c r="N185" s="32">
        <v>2.9332770635409133</v>
      </c>
      <c r="O185" s="32">
        <v>1.5566385317704565</v>
      </c>
      <c r="P185" s="128">
        <f t="shared" si="18"/>
        <v>2.5732770635409103</v>
      </c>
      <c r="Q185" s="128">
        <f t="shared" si="19"/>
        <v>-0.36000000000000298</v>
      </c>
      <c r="R185" s="128">
        <f t="shared" si="20"/>
        <v>1.1066385317704537</v>
      </c>
      <c r="S185" s="115">
        <v>0</v>
      </c>
      <c r="T185" s="116">
        <v>0</v>
      </c>
      <c r="U185" s="116">
        <v>0</v>
      </c>
      <c r="V185" s="116">
        <v>0</v>
      </c>
      <c r="W185" s="116">
        <v>1</v>
      </c>
      <c r="X185" s="6" t="s">
        <v>16</v>
      </c>
      <c r="AC185"/>
      <c r="AD185"/>
    </row>
    <row r="186" spans="1:30" x14ac:dyDescent="0.3">
      <c r="A186" s="4">
        <v>588</v>
      </c>
      <c r="B186" s="8">
        <v>-28.32</v>
      </c>
      <c r="C186" s="8">
        <v>-26.61</v>
      </c>
      <c r="D186" s="6">
        <f t="shared" si="21"/>
        <v>-26.675000000000001</v>
      </c>
      <c r="E186" s="8">
        <v>-25.11</v>
      </c>
      <c r="F186" s="8">
        <v>-26.23</v>
      </c>
      <c r="G186" s="8">
        <v>-27.12</v>
      </c>
      <c r="H186" s="8">
        <v>-27.719610447127224</v>
      </c>
      <c r="I186" s="8"/>
      <c r="J186" s="6" t="s">
        <v>11</v>
      </c>
      <c r="K186" s="32">
        <f t="shared" si="16"/>
        <v>-26.677499999999998</v>
      </c>
      <c r="L186" s="32">
        <v>1.5650000000000013</v>
      </c>
      <c r="M186" s="32">
        <v>-6.5000000000001279E-2</v>
      </c>
      <c r="N186" s="32">
        <v>1.7100000000000009</v>
      </c>
      <c r="O186" s="32">
        <v>1.5725000000000016</v>
      </c>
      <c r="P186" s="128">
        <f t="shared" si="18"/>
        <v>1.6449999999999996</v>
      </c>
      <c r="Q186" s="128">
        <f t="shared" si="19"/>
        <v>-6.5000000000001279E-2</v>
      </c>
      <c r="R186" s="128">
        <f t="shared" si="20"/>
        <v>0.78999999999999915</v>
      </c>
      <c r="S186" s="115">
        <v>0</v>
      </c>
      <c r="T186" s="116">
        <v>0</v>
      </c>
      <c r="U186" s="116">
        <v>0</v>
      </c>
      <c r="V186" s="116">
        <v>0</v>
      </c>
      <c r="W186" s="116">
        <v>1</v>
      </c>
      <c r="X186" s="6" t="s">
        <v>16</v>
      </c>
      <c r="AC186"/>
      <c r="AD186"/>
    </row>
    <row r="187" spans="1:30" x14ac:dyDescent="0.3">
      <c r="A187" s="4">
        <v>589</v>
      </c>
      <c r="B187" s="8">
        <v>-27.46</v>
      </c>
      <c r="C187" s="8">
        <v>-25.72</v>
      </c>
      <c r="D187" s="6">
        <f t="shared" si="21"/>
        <v>-26.695</v>
      </c>
      <c r="E187" s="8">
        <v>-25.58</v>
      </c>
      <c r="F187" s="8">
        <v>-26.67</v>
      </c>
      <c r="G187" s="8">
        <v>-26.72</v>
      </c>
      <c r="H187" s="8">
        <v>-28.420588056293866</v>
      </c>
      <c r="I187" s="8"/>
      <c r="J187" s="6" t="s">
        <v>11</v>
      </c>
      <c r="K187" s="32">
        <f t="shared" si="16"/>
        <v>-26.474166666666665</v>
      </c>
      <c r="L187" s="32">
        <v>1.115000000000002</v>
      </c>
      <c r="M187" s="32">
        <v>-0.97500000000000142</v>
      </c>
      <c r="N187" s="32">
        <v>1.740000000000002</v>
      </c>
      <c r="O187" s="32">
        <v>0.45250000000000057</v>
      </c>
      <c r="P187" s="128">
        <f t="shared" si="18"/>
        <v>0.76500000000000057</v>
      </c>
      <c r="Q187" s="128">
        <f t="shared" si="19"/>
        <v>-0.97500000000000142</v>
      </c>
      <c r="R187" s="128">
        <f t="shared" si="20"/>
        <v>-0.10500000000000043</v>
      </c>
      <c r="S187" s="115">
        <v>1</v>
      </c>
      <c r="T187" s="116">
        <v>0</v>
      </c>
      <c r="U187" s="116">
        <v>0</v>
      </c>
      <c r="V187" s="116">
        <v>0</v>
      </c>
      <c r="W187" s="116">
        <v>0</v>
      </c>
      <c r="X187" s="6" t="s">
        <v>16</v>
      </c>
      <c r="AC187"/>
      <c r="AD187"/>
    </row>
    <row r="188" spans="1:30" x14ac:dyDescent="0.3">
      <c r="A188" s="4">
        <v>590</v>
      </c>
      <c r="B188" s="8">
        <v>-27.77</v>
      </c>
      <c r="C188" s="8">
        <v>-26.1</v>
      </c>
      <c r="D188" s="6">
        <f t="shared" si="21"/>
        <v>-26.344999999999999</v>
      </c>
      <c r="E188" s="8">
        <v>-24.74</v>
      </c>
      <c r="F188" s="8">
        <v>-26.29</v>
      </c>
      <c r="G188" s="8">
        <v>-26.4</v>
      </c>
      <c r="H188" s="8">
        <v>-26.585407341385189</v>
      </c>
      <c r="I188" s="8"/>
      <c r="J188" s="6" t="s">
        <v>11</v>
      </c>
      <c r="K188" s="32">
        <f t="shared" si="16"/>
        <v>-26.27416666666667</v>
      </c>
      <c r="L188" s="32">
        <v>1.6050000000000004</v>
      </c>
      <c r="M188" s="32">
        <v>-0.24499999999999744</v>
      </c>
      <c r="N188" s="32">
        <v>1.6699999999999982</v>
      </c>
      <c r="O188" s="32">
        <v>1.3925000000000054</v>
      </c>
      <c r="P188" s="128">
        <f t="shared" si="18"/>
        <v>1.4250000000000007</v>
      </c>
      <c r="Q188" s="128">
        <f t="shared" si="19"/>
        <v>-0.24499999999999744</v>
      </c>
      <c r="R188" s="128">
        <f t="shared" si="20"/>
        <v>0.59000000000000341</v>
      </c>
      <c r="S188" s="115">
        <v>1</v>
      </c>
      <c r="T188" s="116">
        <v>0</v>
      </c>
      <c r="U188" s="116">
        <v>0</v>
      </c>
      <c r="V188" s="116">
        <v>0</v>
      </c>
      <c r="W188" s="116">
        <v>0</v>
      </c>
      <c r="X188" s="6" t="s">
        <v>16</v>
      </c>
      <c r="AC188"/>
      <c r="AD188"/>
    </row>
    <row r="189" spans="1:30" x14ac:dyDescent="0.3">
      <c r="A189" s="4">
        <v>591</v>
      </c>
      <c r="B189" s="8">
        <v>-28.985120042847932</v>
      </c>
      <c r="C189" s="8">
        <v>-29.731719931312458</v>
      </c>
      <c r="D189" s="6">
        <f t="shared" si="21"/>
        <v>-27.39819932141895</v>
      </c>
      <c r="E189" s="8">
        <v>-24.48</v>
      </c>
      <c r="F189" s="8">
        <v>-27.423607348737541</v>
      </c>
      <c r="G189" s="8">
        <v>-27.372791294100356</v>
      </c>
      <c r="H189" s="8">
        <v>-26.329293934282205</v>
      </c>
      <c r="I189" s="8"/>
      <c r="J189" s="6" t="s">
        <v>11</v>
      </c>
      <c r="K189" s="32">
        <f t="shared" si="16"/>
        <v>-27.565239656402877</v>
      </c>
      <c r="L189" s="32">
        <v>2.9181993214189497</v>
      </c>
      <c r="M189" s="32">
        <v>2.3335206098935082</v>
      </c>
      <c r="N189" s="32">
        <v>-0.74659988846452663</v>
      </c>
      <c r="O189" s="32">
        <v>3.4193203263707233</v>
      </c>
      <c r="P189" s="128">
        <f t="shared" si="18"/>
        <v>2.3335206098935082</v>
      </c>
      <c r="Q189" s="128">
        <f t="shared" si="19"/>
        <v>1.5869207214289816</v>
      </c>
      <c r="R189" s="128">
        <f t="shared" si="20"/>
        <v>1.9602206656612466</v>
      </c>
      <c r="S189" s="115">
        <v>0</v>
      </c>
      <c r="T189" s="116">
        <v>0</v>
      </c>
      <c r="U189" s="116">
        <v>0</v>
      </c>
      <c r="V189" s="116">
        <v>0</v>
      </c>
      <c r="W189" s="116">
        <v>1</v>
      </c>
      <c r="X189" s="6" t="s">
        <v>17</v>
      </c>
      <c r="AC189"/>
      <c r="AD189"/>
    </row>
    <row r="190" spans="1:30" x14ac:dyDescent="0.3">
      <c r="A190" s="4">
        <v>592</v>
      </c>
      <c r="B190" s="8">
        <v>-29.4</v>
      </c>
      <c r="C190" s="8">
        <v>-29.36562367403619</v>
      </c>
      <c r="D190" s="6">
        <f t="shared" si="21"/>
        <v>-27.54</v>
      </c>
      <c r="E190" s="8">
        <v>-25.18</v>
      </c>
      <c r="F190" s="8">
        <v>-27.96</v>
      </c>
      <c r="G190" s="8">
        <v>-27.12</v>
      </c>
      <c r="H190" s="8">
        <v>-27.923537662742866</v>
      </c>
      <c r="I190" s="8"/>
      <c r="J190" s="6" t="s">
        <v>11</v>
      </c>
      <c r="K190" s="32">
        <f t="shared" si="16"/>
        <v>-27.760937279006033</v>
      </c>
      <c r="L190" s="32">
        <v>2.3599999999999994</v>
      </c>
      <c r="M190" s="32">
        <v>1.8256236740361906</v>
      </c>
      <c r="N190" s="32">
        <v>3.4376325963808796E-2</v>
      </c>
      <c r="O190" s="32">
        <v>3.0228118370180965</v>
      </c>
      <c r="P190" s="128">
        <f t="shared" si="18"/>
        <v>1.8599999999999994</v>
      </c>
      <c r="Q190" s="128">
        <f t="shared" si="19"/>
        <v>1.8256236740361906</v>
      </c>
      <c r="R190" s="128">
        <f t="shared" si="20"/>
        <v>1.8428118370180968</v>
      </c>
      <c r="S190" s="115">
        <v>0</v>
      </c>
      <c r="T190" s="99">
        <v>0</v>
      </c>
      <c r="U190" s="99">
        <v>0</v>
      </c>
      <c r="V190" s="99">
        <v>0</v>
      </c>
      <c r="W190" s="99">
        <v>1</v>
      </c>
      <c r="X190" t="s">
        <v>16</v>
      </c>
      <c r="AC190"/>
      <c r="AD190"/>
    </row>
    <row r="191" spans="1:30" x14ac:dyDescent="0.3">
      <c r="A191" s="4">
        <v>593</v>
      </c>
      <c r="B191" s="8">
        <v>-27.65</v>
      </c>
      <c r="C191" s="8">
        <v>-26.63</v>
      </c>
      <c r="D191" s="6">
        <f t="shared" si="21"/>
        <v>-26.625</v>
      </c>
      <c r="E191" s="8">
        <v>-25.1</v>
      </c>
      <c r="F191" s="8">
        <v>-26.52</v>
      </c>
      <c r="G191" s="8">
        <v>-26.73</v>
      </c>
      <c r="H191" s="8">
        <v>-26.819629877324438</v>
      </c>
      <c r="I191" s="8"/>
      <c r="J191" s="6" t="s">
        <v>11</v>
      </c>
      <c r="K191" s="32">
        <f t="shared" si="16"/>
        <v>-26.5425</v>
      </c>
      <c r="L191" s="32">
        <v>1.5249999999999986</v>
      </c>
      <c r="M191" s="32">
        <v>4.9999999999990052E-3</v>
      </c>
      <c r="N191" s="32">
        <v>1.0199999999999996</v>
      </c>
      <c r="O191" s="32">
        <v>1.2774999999999999</v>
      </c>
      <c r="P191" s="128">
        <f t="shared" si="18"/>
        <v>1.0249999999999986</v>
      </c>
      <c r="Q191" s="128">
        <f t="shared" si="19"/>
        <v>4.9999999999990052E-3</v>
      </c>
      <c r="R191" s="128">
        <f t="shared" si="20"/>
        <v>0.51500000000000057</v>
      </c>
      <c r="S191" s="115">
        <v>0</v>
      </c>
      <c r="T191" s="116">
        <v>0</v>
      </c>
      <c r="U191" s="116">
        <v>0</v>
      </c>
      <c r="V191" s="116">
        <v>0</v>
      </c>
      <c r="W191" s="116">
        <v>0</v>
      </c>
      <c r="X191" s="6" t="s">
        <v>16</v>
      </c>
      <c r="AC191"/>
      <c r="AD191"/>
    </row>
    <row r="192" spans="1:30" x14ac:dyDescent="0.3">
      <c r="A192" s="4">
        <v>594</v>
      </c>
      <c r="B192" s="8">
        <v>-28.2</v>
      </c>
      <c r="C192" s="8">
        <v>-26.21</v>
      </c>
      <c r="D192" s="6">
        <f t="shared" si="21"/>
        <v>-26.689999999999998</v>
      </c>
      <c r="E192" s="8">
        <v>-24.98</v>
      </c>
      <c r="F192" s="8">
        <v>-26.77</v>
      </c>
      <c r="G192" s="8">
        <v>-26.61</v>
      </c>
      <c r="H192" s="8">
        <v>-26.913083240246934</v>
      </c>
      <c r="I192" s="8"/>
      <c r="J192" s="6" t="s">
        <v>11</v>
      </c>
      <c r="K192" s="32">
        <f t="shared" si="16"/>
        <v>-26.576666666666664</v>
      </c>
      <c r="L192" s="32">
        <v>1.7099999999999973</v>
      </c>
      <c r="M192" s="32">
        <v>-0.47999999999999687</v>
      </c>
      <c r="N192" s="32">
        <v>1.9899999999999984</v>
      </c>
      <c r="O192" s="32">
        <v>1.3699999999999974</v>
      </c>
      <c r="P192" s="128">
        <f t="shared" si="18"/>
        <v>1.5100000000000016</v>
      </c>
      <c r="Q192" s="128">
        <f t="shared" si="19"/>
        <v>-0.47999999999999687</v>
      </c>
      <c r="R192" s="128">
        <f t="shared" si="20"/>
        <v>0.51500000000000057</v>
      </c>
      <c r="S192" s="115">
        <v>1</v>
      </c>
      <c r="T192" s="116">
        <v>0</v>
      </c>
      <c r="U192" s="116">
        <v>0</v>
      </c>
      <c r="V192" s="116">
        <v>0</v>
      </c>
      <c r="W192" s="116">
        <v>0</v>
      </c>
      <c r="X192" s="6" t="s">
        <v>16</v>
      </c>
      <c r="AC192"/>
      <c r="AD192"/>
    </row>
    <row r="193" spans="1:30" x14ac:dyDescent="0.3">
      <c r="A193" s="4">
        <v>595</v>
      </c>
      <c r="B193" s="8">
        <v>-28.02</v>
      </c>
      <c r="C193" s="8">
        <v>-25.96</v>
      </c>
      <c r="D193" s="6">
        <f t="shared" si="21"/>
        <v>-26.740000000000002</v>
      </c>
      <c r="E193" s="8">
        <v>-24.68</v>
      </c>
      <c r="F193" s="8">
        <v>-26.31</v>
      </c>
      <c r="G193" s="8">
        <v>-27.17</v>
      </c>
      <c r="H193" s="8">
        <v>-26.927991332028753</v>
      </c>
      <c r="I193" s="8"/>
      <c r="J193" s="6" t="s">
        <v>11</v>
      </c>
      <c r="K193" s="32">
        <f t="shared" si="16"/>
        <v>-26.48</v>
      </c>
      <c r="L193" s="32">
        <v>2.0600000000000023</v>
      </c>
      <c r="M193" s="32">
        <v>-0.78000000000000114</v>
      </c>
      <c r="N193" s="32">
        <v>2.0599999999999987</v>
      </c>
      <c r="O193" s="32">
        <v>1.2800000000000011</v>
      </c>
      <c r="P193" s="128">
        <f t="shared" si="18"/>
        <v>1.2799999999999976</v>
      </c>
      <c r="Q193" s="128">
        <f t="shared" si="19"/>
        <v>-0.78000000000000114</v>
      </c>
      <c r="R193" s="128">
        <f t="shared" si="20"/>
        <v>0.25</v>
      </c>
      <c r="S193" s="115">
        <v>1</v>
      </c>
      <c r="T193" s="116">
        <v>0</v>
      </c>
      <c r="U193" s="116">
        <v>0</v>
      </c>
      <c r="V193" s="116">
        <v>0</v>
      </c>
      <c r="W193" s="116">
        <v>0</v>
      </c>
      <c r="X193" s="6" t="s">
        <v>16</v>
      </c>
      <c r="AC193"/>
      <c r="AD193"/>
    </row>
    <row r="194" spans="1:30" x14ac:dyDescent="0.3">
      <c r="A194" s="4">
        <v>596</v>
      </c>
      <c r="B194" s="8">
        <v>-28.84</v>
      </c>
      <c r="C194" s="8">
        <v>-27.33</v>
      </c>
      <c r="D194" s="6">
        <f t="shared" si="21"/>
        <v>-27.524999999999999</v>
      </c>
      <c r="E194" s="8">
        <v>-25.27</v>
      </c>
      <c r="F194" s="8">
        <v>-27.64</v>
      </c>
      <c r="G194" s="8">
        <v>-27.41</v>
      </c>
      <c r="H194" s="8">
        <v>-28.602551989814465</v>
      </c>
      <c r="I194" s="8"/>
      <c r="J194" s="6" t="s">
        <v>11</v>
      </c>
      <c r="K194" s="32">
        <f t="shared" ref="K194:K257" si="22">AVERAGE(B194:G194)</f>
        <v>-27.33583333333333</v>
      </c>
      <c r="L194" s="32">
        <v>2.254999999999999</v>
      </c>
      <c r="M194" s="32">
        <v>-0.19500000000000028</v>
      </c>
      <c r="N194" s="32">
        <v>1.5100000000000016</v>
      </c>
      <c r="O194" s="32">
        <v>1.6875</v>
      </c>
      <c r="P194" s="128">
        <f t="shared" si="18"/>
        <v>1.3150000000000013</v>
      </c>
      <c r="Q194" s="128">
        <f t="shared" si="19"/>
        <v>-0.19500000000000028</v>
      </c>
      <c r="R194" s="128">
        <f t="shared" si="20"/>
        <v>0.56000000000000227</v>
      </c>
      <c r="S194" s="115">
        <v>1</v>
      </c>
      <c r="T194" s="116">
        <v>0</v>
      </c>
      <c r="U194" s="116">
        <v>0</v>
      </c>
      <c r="V194" s="116">
        <v>0</v>
      </c>
      <c r="W194" s="116">
        <v>0</v>
      </c>
      <c r="X194" s="6" t="s">
        <v>16</v>
      </c>
      <c r="AC194"/>
      <c r="AD194"/>
    </row>
    <row r="195" spans="1:30" x14ac:dyDescent="0.3">
      <c r="A195" s="4">
        <v>597</v>
      </c>
      <c r="B195" s="8">
        <v>-29.124155581022972</v>
      </c>
      <c r="C195" s="8">
        <v>-27.41064580510254</v>
      </c>
      <c r="D195" s="6">
        <f t="shared" ref="D195:D208" si="23">IF(AND(ISBLANK(F195),ISBLANK(G195)),"",IF(ISBLANK(F195),G195,IF(ISBLANK(G195),F195,(G195+F195)/2)))</f>
        <v>-27.115558212472841</v>
      </c>
      <c r="E195" s="8">
        <v>-26.384638131710766</v>
      </c>
      <c r="F195" s="8">
        <v>-26.982817473305499</v>
      </c>
      <c r="G195" s="8">
        <v>-27.24829895164018</v>
      </c>
      <c r="H195" s="8">
        <v>-27.099098316559271</v>
      </c>
      <c r="I195" s="8"/>
      <c r="J195" s="6" t="s">
        <v>11</v>
      </c>
      <c r="K195" s="32">
        <f t="shared" si="22"/>
        <v>-27.377685692542467</v>
      </c>
      <c r="L195" s="32">
        <v>0.73092008076207549</v>
      </c>
      <c r="M195" s="32">
        <v>0.29508759262969875</v>
      </c>
      <c r="N195" s="32">
        <v>1.7135097759204321</v>
      </c>
      <c r="O195" s="32">
        <v>1.5173025209709508</v>
      </c>
      <c r="P195" s="128">
        <f t="shared" ref="P195:P258" si="24">IF(OR(E195="", D195="", B195="", C195=""), "", MIN(E195,D195)-MIN(B195,C195))</f>
        <v>2.0085973685501308</v>
      </c>
      <c r="Q195" s="128">
        <f t="shared" ref="Q195:Q258" si="25">IF(OR(E195="", D195="", B195="", C195=""), "", MIN(E195,D195)-MAX(B195,C195))</f>
        <v>0.29508759262969875</v>
      </c>
      <c r="R195" s="128">
        <f t="shared" ref="R195:R258" si="26">IF(OR(E195="", D195="", B195="", C195=""), "", MIN(E195,D195)-AVERAGE(B195,C195))</f>
        <v>1.151842480589913</v>
      </c>
      <c r="S195" s="115">
        <v>0</v>
      </c>
      <c r="T195" s="116">
        <v>0</v>
      </c>
      <c r="U195" s="116">
        <v>0</v>
      </c>
      <c r="V195" s="116">
        <v>0</v>
      </c>
      <c r="W195" s="116">
        <v>1</v>
      </c>
      <c r="X195" s="6" t="s">
        <v>16</v>
      </c>
      <c r="AC195"/>
      <c r="AD195"/>
    </row>
    <row r="196" spans="1:30" x14ac:dyDescent="0.3">
      <c r="A196" s="4">
        <v>598</v>
      </c>
      <c r="B196" s="8">
        <v>-28.889897698892902</v>
      </c>
      <c r="C196" s="8">
        <v>-26.44</v>
      </c>
      <c r="D196" s="6">
        <f t="shared" si="23"/>
        <v>-26.37</v>
      </c>
      <c r="E196" s="8">
        <v>-24.97</v>
      </c>
      <c r="F196" s="8">
        <v>-26.19</v>
      </c>
      <c r="G196" s="8">
        <v>-26.55</v>
      </c>
      <c r="H196" s="8">
        <v>-26.91796287843507</v>
      </c>
      <c r="I196" s="8"/>
      <c r="J196" s="6" t="s">
        <v>11</v>
      </c>
      <c r="K196" s="32">
        <f t="shared" si="22"/>
        <v>-26.568316283148821</v>
      </c>
      <c r="L196" s="32">
        <v>1.4000000000000021</v>
      </c>
      <c r="M196" s="32">
        <v>7.0000000000000284E-2</v>
      </c>
      <c r="N196" s="32">
        <v>2.4498976988929009</v>
      </c>
      <c r="O196" s="32">
        <v>1.9949488494464518</v>
      </c>
      <c r="P196" s="128">
        <f t="shared" si="24"/>
        <v>2.5198976988929012</v>
      </c>
      <c r="Q196" s="128">
        <f t="shared" si="25"/>
        <v>7.0000000000000284E-2</v>
      </c>
      <c r="R196" s="128">
        <f t="shared" si="26"/>
        <v>1.2949488494464525</v>
      </c>
      <c r="S196" s="115">
        <v>0</v>
      </c>
      <c r="T196" s="116">
        <v>0</v>
      </c>
      <c r="U196" s="116">
        <v>0</v>
      </c>
      <c r="V196" s="116">
        <v>0</v>
      </c>
      <c r="W196" s="116">
        <v>1</v>
      </c>
      <c r="X196" s="6" t="s">
        <v>16</v>
      </c>
      <c r="AC196"/>
      <c r="AD196"/>
    </row>
    <row r="197" spans="1:30" x14ac:dyDescent="0.3">
      <c r="A197" s="4">
        <v>599</v>
      </c>
      <c r="B197" s="8">
        <v>-28.67</v>
      </c>
      <c r="C197" s="8">
        <v>-28.78</v>
      </c>
      <c r="D197" s="6">
        <f t="shared" si="23"/>
        <v>-28.215</v>
      </c>
      <c r="E197" s="8">
        <v>-27.01</v>
      </c>
      <c r="F197" s="8">
        <v>-28.38</v>
      </c>
      <c r="G197" s="8">
        <v>-28.05</v>
      </c>
      <c r="H197" s="8">
        <v>-28.845552949113138</v>
      </c>
      <c r="I197" s="8"/>
      <c r="J197" s="6" t="s">
        <v>11</v>
      </c>
      <c r="K197" s="32">
        <f t="shared" si="22"/>
        <v>-28.18416666666667</v>
      </c>
      <c r="L197" s="32">
        <v>1.2049999999999983</v>
      </c>
      <c r="M197" s="32">
        <v>0.56500000000000128</v>
      </c>
      <c r="N197" s="32">
        <v>-0.10999999999999943</v>
      </c>
      <c r="O197" s="32">
        <v>1.1125000000000007</v>
      </c>
      <c r="P197" s="128">
        <f t="shared" si="24"/>
        <v>0.56500000000000128</v>
      </c>
      <c r="Q197" s="128">
        <f t="shared" si="25"/>
        <v>0.45500000000000185</v>
      </c>
      <c r="R197" s="128">
        <f t="shared" si="26"/>
        <v>0.51000000000000156</v>
      </c>
      <c r="S197" s="115">
        <v>0</v>
      </c>
      <c r="T197" s="116">
        <v>1</v>
      </c>
      <c r="U197" s="116">
        <v>1</v>
      </c>
      <c r="V197" s="116">
        <v>1</v>
      </c>
      <c r="W197" s="116">
        <v>0</v>
      </c>
      <c r="X197" s="6" t="s">
        <v>16</v>
      </c>
      <c r="AC197"/>
      <c r="AD197"/>
    </row>
    <row r="198" spans="1:30" x14ac:dyDescent="0.3">
      <c r="A198" s="4">
        <v>600</v>
      </c>
      <c r="B198" s="8">
        <v>-29.18</v>
      </c>
      <c r="C198" s="8">
        <v>-27.05</v>
      </c>
      <c r="D198" s="6">
        <f t="shared" si="23"/>
        <v>-28.4</v>
      </c>
      <c r="E198" s="8">
        <v>-26.27</v>
      </c>
      <c r="F198" s="8">
        <v>-28.4</v>
      </c>
      <c r="G198" s="8">
        <v>-28.4</v>
      </c>
      <c r="H198" s="8">
        <v>-28.338947474136983</v>
      </c>
      <c r="I198" s="8"/>
      <c r="J198" s="6" t="s">
        <v>11</v>
      </c>
      <c r="K198" s="32">
        <f t="shared" si="22"/>
        <v>-27.95</v>
      </c>
      <c r="L198" s="32">
        <v>2.129999999999999</v>
      </c>
      <c r="M198" s="32">
        <v>-1.3499999999999979</v>
      </c>
      <c r="N198" s="32">
        <v>2.129999999999999</v>
      </c>
      <c r="O198" s="32">
        <v>0.78000000000000114</v>
      </c>
      <c r="P198" s="128">
        <f t="shared" si="24"/>
        <v>0.78000000000000114</v>
      </c>
      <c r="Q198" s="128">
        <f t="shared" si="25"/>
        <v>-1.3499999999999979</v>
      </c>
      <c r="R198" s="128">
        <f t="shared" si="26"/>
        <v>-0.28499999999999659</v>
      </c>
      <c r="S198" s="115">
        <v>1</v>
      </c>
      <c r="T198" s="116">
        <v>0</v>
      </c>
      <c r="U198" s="116">
        <v>0</v>
      </c>
      <c r="V198" s="116">
        <v>0</v>
      </c>
      <c r="W198" s="116">
        <v>0</v>
      </c>
      <c r="X198" s="6" t="s">
        <v>16</v>
      </c>
      <c r="AC198"/>
      <c r="AD198"/>
    </row>
    <row r="199" spans="1:30" x14ac:dyDescent="0.3">
      <c r="A199" s="4">
        <v>601</v>
      </c>
      <c r="B199" s="8">
        <v>-29.04</v>
      </c>
      <c r="C199" s="8">
        <v>-27.03</v>
      </c>
      <c r="D199" s="6">
        <f t="shared" si="23"/>
        <v>-27.685000000000002</v>
      </c>
      <c r="E199" s="8">
        <v>-26.39</v>
      </c>
      <c r="F199" s="8">
        <v>-27.6</v>
      </c>
      <c r="G199" s="8">
        <v>-27.77</v>
      </c>
      <c r="H199" s="6"/>
      <c r="I199" s="6"/>
      <c r="J199" s="6" t="s">
        <v>11</v>
      </c>
      <c r="K199" s="32">
        <f t="shared" si="22"/>
        <v>-27.585833333333337</v>
      </c>
      <c r="L199" s="32">
        <v>1.2950000000000017</v>
      </c>
      <c r="M199" s="32">
        <v>-0.65500000000000114</v>
      </c>
      <c r="N199" s="32">
        <v>2.009999999999998</v>
      </c>
      <c r="O199" s="32">
        <v>0.99749999999999872</v>
      </c>
      <c r="P199" s="128">
        <f t="shared" si="24"/>
        <v>1.3549999999999969</v>
      </c>
      <c r="Q199" s="128">
        <f t="shared" si="25"/>
        <v>-0.65500000000000114</v>
      </c>
      <c r="R199" s="128">
        <f t="shared" si="26"/>
        <v>0.34999999999999787</v>
      </c>
      <c r="S199" s="115">
        <v>1</v>
      </c>
      <c r="T199" s="116">
        <v>0</v>
      </c>
      <c r="U199" s="116">
        <v>0</v>
      </c>
      <c r="V199" s="116">
        <v>0</v>
      </c>
      <c r="W199" s="116">
        <v>0</v>
      </c>
      <c r="X199" s="6" t="s">
        <v>16</v>
      </c>
      <c r="AC199"/>
      <c r="AD199"/>
    </row>
    <row r="200" spans="1:30" x14ac:dyDescent="0.3">
      <c r="A200" s="4">
        <v>602</v>
      </c>
      <c r="B200" s="8">
        <v>-28.21</v>
      </c>
      <c r="C200" s="8">
        <v>-27.05</v>
      </c>
      <c r="D200" s="6">
        <f t="shared" si="23"/>
        <v>-27.259999999999998</v>
      </c>
      <c r="E200" s="8">
        <v>-25.02</v>
      </c>
      <c r="F200" s="8">
        <v>-27.48</v>
      </c>
      <c r="G200" s="8">
        <v>-27.04</v>
      </c>
      <c r="H200" s="8">
        <v>-26.976580453198959</v>
      </c>
      <c r="I200" s="8"/>
      <c r="J200" s="6" t="s">
        <v>11</v>
      </c>
      <c r="K200" s="32">
        <f t="shared" si="22"/>
        <v>-27.01</v>
      </c>
      <c r="L200" s="32">
        <v>2.2399999999999984</v>
      </c>
      <c r="M200" s="32">
        <v>-0.2099999999999973</v>
      </c>
      <c r="N200" s="32">
        <v>1.1600000000000001</v>
      </c>
      <c r="O200" s="32">
        <v>1.490000000000002</v>
      </c>
      <c r="P200" s="128">
        <f t="shared" si="24"/>
        <v>0.95000000000000284</v>
      </c>
      <c r="Q200" s="128">
        <f t="shared" si="25"/>
        <v>-0.2099999999999973</v>
      </c>
      <c r="R200" s="128">
        <f t="shared" si="26"/>
        <v>0.37000000000000455</v>
      </c>
      <c r="S200" s="115">
        <v>0</v>
      </c>
      <c r="T200" s="116">
        <v>0</v>
      </c>
      <c r="U200" s="116">
        <v>0</v>
      </c>
      <c r="V200" s="116">
        <v>0</v>
      </c>
      <c r="W200" s="116">
        <v>0</v>
      </c>
      <c r="X200" s="6" t="s">
        <v>16</v>
      </c>
      <c r="AC200"/>
      <c r="AD200"/>
    </row>
    <row r="201" spans="1:30" s="58" customFormat="1" x14ac:dyDescent="0.3">
      <c r="A201" s="60">
        <v>603</v>
      </c>
      <c r="B201" s="61">
        <v>-29.028511902994438</v>
      </c>
      <c r="C201" s="61">
        <v>-26</v>
      </c>
      <c r="D201" s="54">
        <f t="shared" si="23"/>
        <v>-26.11</v>
      </c>
      <c r="E201" s="61">
        <v>-25.42</v>
      </c>
      <c r="F201" s="61">
        <v>-25.92</v>
      </c>
      <c r="G201" s="61">
        <v>-26.3</v>
      </c>
      <c r="H201" s="61">
        <v>-27.117716752596856</v>
      </c>
      <c r="I201" s="61"/>
      <c r="J201" s="54" t="s">
        <v>11</v>
      </c>
      <c r="K201" s="57">
        <f t="shared" si="22"/>
        <v>-26.463085317165746</v>
      </c>
      <c r="L201" s="32">
        <v>0.68999999999999773</v>
      </c>
      <c r="M201" s="32">
        <v>-0.10999999999999943</v>
      </c>
      <c r="N201" s="32">
        <v>3.0285119029944383</v>
      </c>
      <c r="O201" s="32">
        <v>1.7492559514972186</v>
      </c>
      <c r="P201" s="128">
        <f t="shared" si="24"/>
        <v>2.9185119029944389</v>
      </c>
      <c r="Q201" s="128">
        <f t="shared" si="25"/>
        <v>-0.10999999999999943</v>
      </c>
      <c r="R201" s="128">
        <f t="shared" si="26"/>
        <v>1.4042559514972197</v>
      </c>
      <c r="S201" s="117">
        <v>0</v>
      </c>
      <c r="T201" s="119">
        <v>0</v>
      </c>
      <c r="U201" s="119">
        <v>0</v>
      </c>
      <c r="V201" s="119">
        <v>0</v>
      </c>
      <c r="W201" s="119">
        <v>1</v>
      </c>
      <c r="X201" s="54" t="s">
        <v>16</v>
      </c>
    </row>
    <row r="202" spans="1:30" x14ac:dyDescent="0.3">
      <c r="A202" s="4">
        <v>604</v>
      </c>
      <c r="B202" s="8">
        <v>-29.109312447854855</v>
      </c>
      <c r="C202" s="8">
        <v>-28.007052056370433</v>
      </c>
      <c r="D202" s="6">
        <f t="shared" si="23"/>
        <v>-27.117338111100082</v>
      </c>
      <c r="E202" s="8">
        <v>-27.44</v>
      </c>
      <c r="F202" s="8">
        <v>-27.128745684892387</v>
      </c>
      <c r="G202" s="8">
        <v>-27.105930537307778</v>
      </c>
      <c r="H202" s="8">
        <v>-27.453239528795777</v>
      </c>
      <c r="I202" s="8"/>
      <c r="J202" s="6" t="s">
        <v>11</v>
      </c>
      <c r="K202" s="32">
        <f t="shared" si="22"/>
        <v>-27.651396472920922</v>
      </c>
      <c r="L202" s="32">
        <v>-0.32266188889991909</v>
      </c>
      <c r="M202" s="32">
        <v>0.8897139452703513</v>
      </c>
      <c r="N202" s="32">
        <v>1.1022603914844211</v>
      </c>
      <c r="O202" s="32">
        <v>1.2795131965626041</v>
      </c>
      <c r="P202" s="128">
        <f t="shared" si="24"/>
        <v>1.6693124478548533</v>
      </c>
      <c r="Q202" s="128">
        <f t="shared" si="25"/>
        <v>0.56705205637043221</v>
      </c>
      <c r="R202" s="128">
        <f t="shared" si="26"/>
        <v>1.1181822521126428</v>
      </c>
      <c r="S202" s="115">
        <v>0</v>
      </c>
      <c r="T202" s="116">
        <v>0</v>
      </c>
      <c r="U202" s="116">
        <v>0</v>
      </c>
      <c r="V202" s="116">
        <v>0</v>
      </c>
      <c r="W202" s="116">
        <v>0</v>
      </c>
      <c r="X202" s="6" t="s">
        <v>16</v>
      </c>
      <c r="AC202"/>
      <c r="AD202"/>
    </row>
    <row r="203" spans="1:30" x14ac:dyDescent="0.3">
      <c r="A203" s="4">
        <v>605</v>
      </c>
      <c r="B203" s="8">
        <v>-29.150901812625506</v>
      </c>
      <c r="C203" s="8">
        <v>-25.69</v>
      </c>
      <c r="D203" s="6">
        <f t="shared" si="23"/>
        <v>-26.060000000000002</v>
      </c>
      <c r="E203" s="8">
        <v>-24.67</v>
      </c>
      <c r="F203" s="8">
        <v>-25.94</v>
      </c>
      <c r="G203" s="8">
        <v>-26.18</v>
      </c>
      <c r="H203" s="8">
        <v>-26.615099325963975</v>
      </c>
      <c r="I203" s="8"/>
      <c r="J203" s="6" t="s">
        <v>11</v>
      </c>
      <c r="K203" s="32">
        <f t="shared" si="22"/>
        <v>-26.281816968770922</v>
      </c>
      <c r="L203" s="32">
        <v>1.3900000000000006</v>
      </c>
      <c r="M203" s="32">
        <v>-0.37000000000000099</v>
      </c>
      <c r="N203" s="32">
        <v>3.4609018126255044</v>
      </c>
      <c r="O203" s="32">
        <v>2.0554509063127497</v>
      </c>
      <c r="P203" s="128">
        <f t="shared" si="24"/>
        <v>3.0909018126255035</v>
      </c>
      <c r="Q203" s="128">
        <f t="shared" si="25"/>
        <v>-0.37000000000000099</v>
      </c>
      <c r="R203" s="128">
        <f t="shared" si="26"/>
        <v>1.3604509063127495</v>
      </c>
      <c r="S203" s="115">
        <v>1</v>
      </c>
      <c r="T203" s="116">
        <v>0</v>
      </c>
      <c r="U203" s="116">
        <v>0</v>
      </c>
      <c r="V203" s="116">
        <v>0</v>
      </c>
      <c r="W203" s="116">
        <v>1</v>
      </c>
      <c r="X203" s="6" t="s">
        <v>16</v>
      </c>
      <c r="AC203"/>
      <c r="AD203"/>
    </row>
    <row r="204" spans="1:30" x14ac:dyDescent="0.3">
      <c r="A204" s="4">
        <v>606</v>
      </c>
      <c r="B204" s="6"/>
      <c r="C204" s="6"/>
      <c r="D204" s="6" t="str">
        <f t="shared" si="23"/>
        <v/>
      </c>
      <c r="E204" s="6"/>
      <c r="F204" s="8"/>
      <c r="G204" s="8"/>
      <c r="H204" s="8">
        <v>-26.968293680251676</v>
      </c>
      <c r="I204" s="8"/>
      <c r="J204" s="6" t="s">
        <v>11</v>
      </c>
      <c r="K204" s="32" t="e">
        <f t="shared" si="22"/>
        <v>#DIV/0!</v>
      </c>
      <c r="L204" s="32" t="e">
        <v>#VALUE!</v>
      </c>
      <c r="M204" s="32" t="e">
        <v>#VALUE!</v>
      </c>
      <c r="N204" s="32">
        <v>0</v>
      </c>
      <c r="O204" s="32" t="e">
        <v>#DIV/0!</v>
      </c>
      <c r="P204" s="128" t="str">
        <f t="shared" si="24"/>
        <v/>
      </c>
      <c r="Q204" s="128" t="str">
        <f t="shared" si="25"/>
        <v/>
      </c>
      <c r="R204" s="128" t="str">
        <f t="shared" si="26"/>
        <v/>
      </c>
      <c r="S204" s="115"/>
      <c r="AC204"/>
      <c r="AD204"/>
    </row>
    <row r="205" spans="1:30" x14ac:dyDescent="0.3">
      <c r="A205" s="4">
        <v>607</v>
      </c>
      <c r="B205" s="17"/>
      <c r="C205" s="17"/>
      <c r="D205" s="6" t="str">
        <f t="shared" si="23"/>
        <v/>
      </c>
      <c r="E205" s="8"/>
      <c r="F205" s="8"/>
      <c r="G205" s="8"/>
      <c r="H205" s="8">
        <v>-26.694619807667472</v>
      </c>
      <c r="I205" s="8"/>
      <c r="J205" s="6" t="s">
        <v>11</v>
      </c>
      <c r="K205" s="32" t="e">
        <f t="shared" si="22"/>
        <v>#DIV/0!</v>
      </c>
      <c r="L205" s="32" t="e">
        <v>#VALUE!</v>
      </c>
      <c r="M205" s="32" t="e">
        <v>#VALUE!</v>
      </c>
      <c r="N205" s="32">
        <v>0</v>
      </c>
      <c r="O205" s="32" t="e">
        <v>#DIV/0!</v>
      </c>
      <c r="P205" s="128" t="str">
        <f t="shared" si="24"/>
        <v/>
      </c>
      <c r="Q205" s="128" t="str">
        <f t="shared" si="25"/>
        <v/>
      </c>
      <c r="R205" s="128" t="str">
        <f t="shared" si="26"/>
        <v/>
      </c>
      <c r="S205" s="115"/>
      <c r="AC205"/>
      <c r="AD205"/>
    </row>
    <row r="206" spans="1:30" x14ac:dyDescent="0.3">
      <c r="A206" s="4">
        <v>608</v>
      </c>
      <c r="B206" s="17"/>
      <c r="C206" s="17"/>
      <c r="D206" s="6" t="str">
        <f t="shared" si="23"/>
        <v/>
      </c>
      <c r="E206" s="8"/>
      <c r="F206" s="8"/>
      <c r="G206" s="8"/>
      <c r="H206" s="8">
        <v>-29.522910128819312</v>
      </c>
      <c r="I206" s="8"/>
      <c r="J206" s="6" t="s">
        <v>11</v>
      </c>
      <c r="K206" s="32" t="e">
        <f t="shared" si="22"/>
        <v>#DIV/0!</v>
      </c>
      <c r="L206" s="32" t="e">
        <v>#VALUE!</v>
      </c>
      <c r="M206" s="32" t="e">
        <v>#VALUE!</v>
      </c>
      <c r="N206" s="32">
        <v>0</v>
      </c>
      <c r="O206" s="32" t="e">
        <v>#DIV/0!</v>
      </c>
      <c r="P206" s="128" t="str">
        <f t="shared" si="24"/>
        <v/>
      </c>
      <c r="Q206" s="128" t="str">
        <f t="shared" si="25"/>
        <v/>
      </c>
      <c r="R206" s="128" t="str">
        <f t="shared" si="26"/>
        <v/>
      </c>
      <c r="S206" s="115"/>
      <c r="AC206"/>
      <c r="AD206"/>
    </row>
    <row r="207" spans="1:30" x14ac:dyDescent="0.3">
      <c r="A207" s="4">
        <v>609</v>
      </c>
      <c r="B207" s="17"/>
      <c r="C207" s="17"/>
      <c r="D207" s="6" t="str">
        <f t="shared" si="23"/>
        <v/>
      </c>
      <c r="E207" s="8"/>
      <c r="F207" s="8"/>
      <c r="G207" s="8"/>
      <c r="H207" s="8">
        <v>-29.773644907943627</v>
      </c>
      <c r="I207" s="8"/>
      <c r="J207" s="6" t="s">
        <v>11</v>
      </c>
      <c r="K207" s="32" t="e">
        <f t="shared" si="22"/>
        <v>#DIV/0!</v>
      </c>
      <c r="L207" s="32" t="e">
        <v>#VALUE!</v>
      </c>
      <c r="M207" s="32" t="e">
        <v>#VALUE!</v>
      </c>
      <c r="N207" s="32">
        <v>0</v>
      </c>
      <c r="O207" s="32" t="e">
        <v>#DIV/0!</v>
      </c>
      <c r="P207" s="128" t="str">
        <f t="shared" si="24"/>
        <v/>
      </c>
      <c r="Q207" s="128" t="str">
        <f t="shared" si="25"/>
        <v/>
      </c>
      <c r="R207" s="128" t="str">
        <f t="shared" si="26"/>
        <v/>
      </c>
      <c r="S207" s="115"/>
      <c r="AC207"/>
      <c r="AD207"/>
    </row>
    <row r="208" spans="1:30" x14ac:dyDescent="0.3">
      <c r="A208" s="4">
        <v>610</v>
      </c>
      <c r="B208" s="6"/>
      <c r="C208" s="6"/>
      <c r="D208" s="6" t="str">
        <f t="shared" si="23"/>
        <v/>
      </c>
      <c r="E208" s="6"/>
      <c r="F208" s="6"/>
      <c r="G208" s="6"/>
      <c r="H208" s="8">
        <v>-29.113846518408664</v>
      </c>
      <c r="I208" s="8"/>
      <c r="J208" s="6" t="s">
        <v>11</v>
      </c>
      <c r="K208" s="32" t="e">
        <f t="shared" si="22"/>
        <v>#DIV/0!</v>
      </c>
      <c r="L208" s="32" t="e">
        <v>#VALUE!</v>
      </c>
      <c r="M208" s="32" t="e">
        <v>#VALUE!</v>
      </c>
      <c r="N208" s="32">
        <v>0</v>
      </c>
      <c r="O208" s="32" t="e">
        <v>#DIV/0!</v>
      </c>
      <c r="P208" s="128" t="str">
        <f t="shared" si="24"/>
        <v/>
      </c>
      <c r="Q208" s="128" t="str">
        <f t="shared" si="25"/>
        <v/>
      </c>
      <c r="R208" s="128" t="str">
        <f t="shared" si="26"/>
        <v/>
      </c>
      <c r="S208" s="115"/>
      <c r="AC208"/>
      <c r="AD208"/>
    </row>
    <row r="209" spans="1:30" x14ac:dyDescent="0.3">
      <c r="A209" s="4">
        <v>611</v>
      </c>
      <c r="B209" s="18">
        <v>-28.568021978021974</v>
      </c>
      <c r="C209" s="18">
        <v>-28.479999999999997</v>
      </c>
      <c r="D209" s="18">
        <v>-27.580219780219775</v>
      </c>
      <c r="E209" s="18">
        <v>-27.325934065934064</v>
      </c>
      <c r="F209" s="6"/>
      <c r="G209" s="6"/>
      <c r="H209" s="6"/>
      <c r="I209" s="6"/>
      <c r="J209" s="6" t="s">
        <v>11</v>
      </c>
      <c r="K209" s="32">
        <f t="shared" si="22"/>
        <v>-27.988543956043952</v>
      </c>
      <c r="L209" s="32">
        <v>0.2542857142857109</v>
      </c>
      <c r="M209" s="32">
        <v>0.89978021978022227</v>
      </c>
      <c r="N209" s="32">
        <v>8.8021978021977532E-2</v>
      </c>
      <c r="O209" s="32">
        <v>1.0709340659340647</v>
      </c>
      <c r="P209" s="128">
        <f t="shared" si="24"/>
        <v>0.9878021978021998</v>
      </c>
      <c r="Q209" s="128">
        <f t="shared" si="25"/>
        <v>0.89978021978022227</v>
      </c>
      <c r="R209" s="128">
        <f t="shared" si="26"/>
        <v>0.94379120879121103</v>
      </c>
      <c r="S209" s="115">
        <v>0</v>
      </c>
      <c r="T209" s="116">
        <v>0</v>
      </c>
      <c r="U209" s="116">
        <v>0</v>
      </c>
      <c r="V209" s="116">
        <v>0</v>
      </c>
      <c r="W209" s="116">
        <v>0</v>
      </c>
      <c r="X209" s="6" t="s">
        <v>16</v>
      </c>
      <c r="AC209"/>
      <c r="AD209"/>
    </row>
    <row r="210" spans="1:30" x14ac:dyDescent="0.3">
      <c r="A210" s="4">
        <v>612</v>
      </c>
      <c r="B210" s="18">
        <v>-28.264835164835159</v>
      </c>
      <c r="C210" s="18">
        <v>-27.413956043956041</v>
      </c>
      <c r="D210" s="18">
        <v>-27.28681318681318</v>
      </c>
      <c r="E210" s="18">
        <v>-27.717142857142854</v>
      </c>
      <c r="F210" s="6"/>
      <c r="G210" s="6"/>
      <c r="H210" s="6"/>
      <c r="I210" s="6"/>
      <c r="J210" s="6" t="s">
        <v>11</v>
      </c>
      <c r="K210" s="32">
        <f t="shared" si="22"/>
        <v>-27.670686813186805</v>
      </c>
      <c r="L210" s="32">
        <v>-0.43032967032967306</v>
      </c>
      <c r="M210" s="32">
        <v>0.12714285714286078</v>
      </c>
      <c r="N210" s="32">
        <v>0.85087912087911732</v>
      </c>
      <c r="O210" s="32">
        <v>0.33741758241757935</v>
      </c>
      <c r="P210" s="128">
        <f t="shared" si="24"/>
        <v>0.54769230769230504</v>
      </c>
      <c r="Q210" s="128">
        <f t="shared" si="25"/>
        <v>-0.30318681318681229</v>
      </c>
      <c r="R210" s="128">
        <f t="shared" si="26"/>
        <v>0.1222527472527446</v>
      </c>
      <c r="S210" s="115">
        <v>0</v>
      </c>
      <c r="T210" s="116">
        <v>0</v>
      </c>
      <c r="U210" s="116">
        <v>0</v>
      </c>
      <c r="V210" s="116">
        <v>0</v>
      </c>
      <c r="W210" s="116">
        <v>0</v>
      </c>
      <c r="X210" s="6" t="s">
        <v>16</v>
      </c>
      <c r="AC210"/>
      <c r="AD210"/>
    </row>
    <row r="211" spans="1:30" x14ac:dyDescent="0.3">
      <c r="A211" s="4">
        <v>613</v>
      </c>
      <c r="B211" s="18">
        <v>-28.695164835164832</v>
      </c>
      <c r="C211" s="18">
        <v>-27.531318681318677</v>
      </c>
      <c r="D211" s="18">
        <v>-27.120549450549447</v>
      </c>
      <c r="E211" s="18">
        <v>-27.736703296703293</v>
      </c>
      <c r="F211" s="6"/>
      <c r="G211" s="6"/>
      <c r="H211" s="6"/>
      <c r="I211" s="6"/>
      <c r="J211" s="6" t="s">
        <v>11</v>
      </c>
      <c r="K211" s="32">
        <f t="shared" si="22"/>
        <v>-27.770934065934064</v>
      </c>
      <c r="L211" s="32">
        <v>-0.61615384615384627</v>
      </c>
      <c r="M211" s="32">
        <v>0.41076923076922967</v>
      </c>
      <c r="N211" s="32">
        <v>1.1638461538461549</v>
      </c>
      <c r="O211" s="32">
        <v>0.68461538461538396</v>
      </c>
      <c r="P211" s="128">
        <f t="shared" si="24"/>
        <v>0.95846153846153825</v>
      </c>
      <c r="Q211" s="128">
        <f t="shared" si="25"/>
        <v>-0.20538461538461661</v>
      </c>
      <c r="R211" s="128">
        <f t="shared" si="26"/>
        <v>0.3765384615384626</v>
      </c>
      <c r="S211" s="115">
        <v>0</v>
      </c>
      <c r="T211" s="116">
        <v>0</v>
      </c>
      <c r="U211" s="116">
        <v>0</v>
      </c>
      <c r="V211" s="116">
        <v>0</v>
      </c>
      <c r="W211" s="116">
        <v>0</v>
      </c>
      <c r="X211" s="6" t="s">
        <v>16</v>
      </c>
      <c r="AC211"/>
      <c r="AD211"/>
    </row>
    <row r="212" spans="1:30" x14ac:dyDescent="0.3">
      <c r="A212" s="4">
        <v>614</v>
      </c>
      <c r="B212" s="18">
        <v>-28.206153846153843</v>
      </c>
      <c r="C212" s="18">
        <v>-27.648681318681316</v>
      </c>
      <c r="D212" s="18">
        <v>-27.237912087912086</v>
      </c>
      <c r="E212" s="18">
        <v>-27.746483516483515</v>
      </c>
      <c r="F212" s="6"/>
      <c r="G212" s="6"/>
      <c r="H212" s="6"/>
      <c r="I212" s="6"/>
      <c r="J212" s="6" t="s">
        <v>11</v>
      </c>
      <c r="K212" s="32">
        <f t="shared" si="22"/>
        <v>-27.709807692307692</v>
      </c>
      <c r="L212" s="32">
        <v>-0.5085714285714289</v>
      </c>
      <c r="M212" s="32">
        <v>0.41076923076922967</v>
      </c>
      <c r="N212" s="32">
        <v>0.55747252747252674</v>
      </c>
      <c r="O212" s="32">
        <v>0.43521978021977858</v>
      </c>
      <c r="P212" s="128">
        <f t="shared" si="24"/>
        <v>0.4596703296703275</v>
      </c>
      <c r="Q212" s="128">
        <f t="shared" si="25"/>
        <v>-9.7802197802199231E-2</v>
      </c>
      <c r="R212" s="128">
        <f t="shared" si="26"/>
        <v>0.18093406593406414</v>
      </c>
      <c r="S212" s="115">
        <v>0</v>
      </c>
      <c r="T212" s="116">
        <v>0</v>
      </c>
      <c r="U212" s="116">
        <v>0</v>
      </c>
      <c r="V212" s="116">
        <v>0</v>
      </c>
      <c r="W212" s="116">
        <v>0</v>
      </c>
      <c r="X212" s="6" t="s">
        <v>16</v>
      </c>
      <c r="AC212"/>
      <c r="AD212"/>
    </row>
    <row r="213" spans="1:30" x14ac:dyDescent="0.3">
      <c r="A213" s="4">
        <v>615</v>
      </c>
      <c r="B213" s="18">
        <v>-28.509340659340655</v>
      </c>
      <c r="C213" s="18">
        <v>-27.687802197802192</v>
      </c>
      <c r="D213" s="18">
        <v>-27.423736263736259</v>
      </c>
      <c r="E213" s="18">
        <v>-27.218351648351643</v>
      </c>
      <c r="F213" s="6"/>
      <c r="G213" s="6"/>
      <c r="H213" s="6"/>
      <c r="I213" s="6"/>
      <c r="J213" s="6" t="s">
        <v>11</v>
      </c>
      <c r="K213" s="32">
        <f t="shared" si="22"/>
        <v>-27.709807692307688</v>
      </c>
      <c r="L213" s="32">
        <v>0.20538461538461661</v>
      </c>
      <c r="M213" s="32">
        <v>0.26406593406593259</v>
      </c>
      <c r="N213" s="32">
        <v>0.82153846153846288</v>
      </c>
      <c r="O213" s="32">
        <v>0.77752747252747412</v>
      </c>
      <c r="P213" s="128">
        <f t="shared" si="24"/>
        <v>1.0856043956043955</v>
      </c>
      <c r="Q213" s="128">
        <f t="shared" si="25"/>
        <v>0.26406593406593259</v>
      </c>
      <c r="R213" s="128">
        <f t="shared" si="26"/>
        <v>0.67483516483516581</v>
      </c>
      <c r="S213" s="115">
        <v>0</v>
      </c>
      <c r="T213" s="116">
        <v>0</v>
      </c>
      <c r="U213" s="116">
        <v>0</v>
      </c>
      <c r="V213" s="116">
        <v>0</v>
      </c>
      <c r="W213" s="116">
        <v>0</v>
      </c>
      <c r="X213" s="6" t="s">
        <v>16</v>
      </c>
      <c r="AC213"/>
      <c r="AD213"/>
    </row>
    <row r="214" spans="1:30" x14ac:dyDescent="0.3">
      <c r="A214" s="4">
        <v>616</v>
      </c>
      <c r="B214" s="19">
        <v>-29.042013957665748</v>
      </c>
      <c r="C214" s="19">
        <v>-28.896293419299141</v>
      </c>
      <c r="D214" s="19">
        <v>-28.902996893290062</v>
      </c>
      <c r="E214" s="19">
        <v>-28.198790019694322</v>
      </c>
      <c r="F214" s="6"/>
      <c r="G214" s="6"/>
      <c r="H214" s="6"/>
      <c r="I214" s="6"/>
      <c r="J214" s="6" t="s">
        <v>11</v>
      </c>
      <c r="K214" s="32">
        <f t="shared" si="22"/>
        <v>-28.76002357248732</v>
      </c>
      <c r="L214" s="32">
        <v>0.70420687359574075</v>
      </c>
      <c r="M214" s="32">
        <v>-6.7034739909210828E-3</v>
      </c>
      <c r="N214" s="32">
        <v>0.14572053836660714</v>
      </c>
      <c r="O214" s="32">
        <v>0.41826023199025286</v>
      </c>
      <c r="P214" s="128">
        <f t="shared" si="24"/>
        <v>0.13901706437568606</v>
      </c>
      <c r="Q214" s="128">
        <f t="shared" si="25"/>
        <v>-6.7034739909210828E-3</v>
      </c>
      <c r="R214" s="128">
        <f t="shared" si="26"/>
        <v>6.6156795192380713E-2</v>
      </c>
      <c r="S214" s="115">
        <v>0</v>
      </c>
      <c r="T214" s="116">
        <v>0</v>
      </c>
      <c r="U214" s="116">
        <v>0</v>
      </c>
      <c r="V214" s="116">
        <v>0</v>
      </c>
      <c r="W214" s="116">
        <v>0</v>
      </c>
      <c r="X214" s="6" t="s">
        <v>16</v>
      </c>
      <c r="AC214"/>
      <c r="AD214"/>
    </row>
    <row r="215" spans="1:30" x14ac:dyDescent="0.3">
      <c r="A215" s="4">
        <v>617</v>
      </c>
      <c r="B215" s="19">
        <v>-29.27</v>
      </c>
      <c r="C215" s="19">
        <v>-28.903419619824298</v>
      </c>
      <c r="D215" s="19">
        <v>-29.092284263959392</v>
      </c>
      <c r="E215" s="19">
        <v>-28.250697681204578</v>
      </c>
      <c r="F215" s="6"/>
      <c r="G215" s="6"/>
      <c r="H215" s="6"/>
      <c r="I215" s="6"/>
      <c r="J215" s="6" t="s">
        <v>11</v>
      </c>
      <c r="K215" s="32">
        <f t="shared" si="22"/>
        <v>-28.879100391247064</v>
      </c>
      <c r="L215" s="32">
        <v>0.84158658275481457</v>
      </c>
      <c r="M215" s="32">
        <v>-0.1888646441350943</v>
      </c>
      <c r="N215" s="32">
        <v>0.36658038017570149</v>
      </c>
      <c r="O215" s="32">
        <v>0.41521883733016551</v>
      </c>
      <c r="P215" s="128">
        <f t="shared" si="24"/>
        <v>0.1777157360406072</v>
      </c>
      <c r="Q215" s="128">
        <f t="shared" si="25"/>
        <v>-0.1888646441350943</v>
      </c>
      <c r="R215" s="128">
        <f t="shared" si="26"/>
        <v>-5.5744540472417725E-3</v>
      </c>
      <c r="S215" s="115">
        <v>0</v>
      </c>
      <c r="T215" s="116">
        <v>0</v>
      </c>
      <c r="U215" s="116">
        <v>0</v>
      </c>
      <c r="V215" s="116">
        <v>0</v>
      </c>
      <c r="W215" s="116">
        <v>0</v>
      </c>
      <c r="X215" s="6" t="s">
        <v>16</v>
      </c>
      <c r="AC215"/>
      <c r="AD215"/>
    </row>
    <row r="216" spans="1:30" x14ac:dyDescent="0.3">
      <c r="A216" s="4">
        <v>618</v>
      </c>
      <c r="B216" s="19">
        <v>-28.867896848623616</v>
      </c>
      <c r="C216" s="19">
        <v>-28.875094366314386</v>
      </c>
      <c r="D216" s="19">
        <v>-28.977263856362221</v>
      </c>
      <c r="E216" s="19">
        <v>-27.743235029587002</v>
      </c>
      <c r="F216" s="6"/>
      <c r="G216" s="6"/>
      <c r="H216" s="6"/>
      <c r="I216" s="6"/>
      <c r="J216" s="6" t="s">
        <v>11</v>
      </c>
      <c r="K216" s="32">
        <f t="shared" si="22"/>
        <v>-28.615872525221803</v>
      </c>
      <c r="L216" s="32">
        <v>1.2340288267752193</v>
      </c>
      <c r="M216" s="32">
        <v>-0.10216949004783515</v>
      </c>
      <c r="N216" s="32">
        <v>-7.1975176907699279E-3</v>
      </c>
      <c r="O216" s="32">
        <v>0.51124616449438776</v>
      </c>
      <c r="P216" s="128">
        <f t="shared" si="24"/>
        <v>-0.10216949004783515</v>
      </c>
      <c r="Q216" s="128">
        <f t="shared" si="25"/>
        <v>-0.10936700773860508</v>
      </c>
      <c r="R216" s="128">
        <f t="shared" si="26"/>
        <v>-0.10576824889322012</v>
      </c>
      <c r="S216" s="115">
        <v>0</v>
      </c>
      <c r="T216" s="116">
        <v>0</v>
      </c>
      <c r="U216" s="116">
        <v>0</v>
      </c>
      <c r="V216" s="116">
        <v>0</v>
      </c>
      <c r="W216" s="116">
        <v>0</v>
      </c>
      <c r="X216" s="6" t="s">
        <v>16</v>
      </c>
      <c r="AC216"/>
      <c r="AD216"/>
    </row>
    <row r="217" spans="1:30" x14ac:dyDescent="0.3">
      <c r="A217" s="4">
        <v>619</v>
      </c>
      <c r="B217" s="19">
        <v>-29.828715098055532</v>
      </c>
      <c r="C217" s="19">
        <v>-28.702771847026238</v>
      </c>
      <c r="D217" s="19">
        <v>-29.093586752101189</v>
      </c>
      <c r="E217" s="19">
        <v>-28.315115336606475</v>
      </c>
      <c r="F217" s="6"/>
      <c r="G217" s="6"/>
      <c r="H217" s="6"/>
      <c r="I217" s="6"/>
      <c r="J217" s="6" t="s">
        <v>11</v>
      </c>
      <c r="K217" s="32">
        <f t="shared" si="22"/>
        <v>-28.985047258447359</v>
      </c>
      <c r="L217" s="32">
        <v>0.77847141549471388</v>
      </c>
      <c r="M217" s="32">
        <v>-0.39081490507495076</v>
      </c>
      <c r="N217" s="32">
        <v>1.1259432510292946</v>
      </c>
      <c r="O217" s="32">
        <v>0.56139242818705171</v>
      </c>
      <c r="P217" s="128">
        <f t="shared" si="24"/>
        <v>0.73512834595434384</v>
      </c>
      <c r="Q217" s="128">
        <f t="shared" si="25"/>
        <v>-0.39081490507495076</v>
      </c>
      <c r="R217" s="128">
        <f t="shared" si="26"/>
        <v>0.17215672043969477</v>
      </c>
      <c r="S217" s="115">
        <v>1</v>
      </c>
      <c r="T217" s="116">
        <v>0</v>
      </c>
      <c r="U217" s="116">
        <v>0</v>
      </c>
      <c r="V217" s="116">
        <v>0</v>
      </c>
      <c r="W217" s="116">
        <v>0</v>
      </c>
      <c r="X217" s="6" t="s">
        <v>16</v>
      </c>
      <c r="AC217"/>
      <c r="AD217"/>
    </row>
    <row r="218" spans="1:30" x14ac:dyDescent="0.3">
      <c r="A218" s="4">
        <v>620</v>
      </c>
      <c r="B218" s="19">
        <v>-29.15136882885249</v>
      </c>
      <c r="C218" s="19">
        <v>-28.174091897955954</v>
      </c>
      <c r="D218" s="19">
        <v>-29.219640342847633</v>
      </c>
      <c r="E218" s="19">
        <v>-28.304627278022803</v>
      </c>
      <c r="F218" s="6"/>
      <c r="G218" s="6"/>
      <c r="H218" s="6"/>
      <c r="I218" s="6"/>
      <c r="J218" s="6" t="s">
        <v>11</v>
      </c>
      <c r="K218" s="32">
        <f t="shared" si="22"/>
        <v>-28.712432086919723</v>
      </c>
      <c r="L218" s="32">
        <v>0.91501306482483002</v>
      </c>
      <c r="M218" s="32">
        <v>-1.0455484448916792</v>
      </c>
      <c r="N218" s="32">
        <v>0.97727693089653656</v>
      </c>
      <c r="O218" s="32">
        <v>-9.940344703099413E-2</v>
      </c>
      <c r="P218" s="128">
        <f t="shared" si="24"/>
        <v>-6.8271513995142641E-2</v>
      </c>
      <c r="Q218" s="128">
        <f t="shared" si="25"/>
        <v>-1.0455484448916792</v>
      </c>
      <c r="R218" s="128">
        <f t="shared" si="26"/>
        <v>-0.55690997944341092</v>
      </c>
      <c r="S218" s="115">
        <v>1</v>
      </c>
      <c r="T218" s="116">
        <v>0</v>
      </c>
      <c r="U218" s="116">
        <v>0</v>
      </c>
      <c r="V218" s="116">
        <v>0</v>
      </c>
      <c r="W218" s="116">
        <v>0</v>
      </c>
      <c r="X218" s="6" t="s">
        <v>16</v>
      </c>
      <c r="AC218"/>
      <c r="AD218"/>
    </row>
    <row r="219" spans="1:30" x14ac:dyDescent="0.3">
      <c r="A219" s="4">
        <v>621</v>
      </c>
      <c r="B219" s="8">
        <v>-29.886273726273725</v>
      </c>
      <c r="C219" s="8">
        <v>-27.424936729936732</v>
      </c>
      <c r="D219" s="6" t="str">
        <f t="shared" ref="D219:D235" si="27">IF(AND(ISBLANK(F219),ISBLANK(G219)),"",IF(ISBLANK(F219),G219,IF(ISBLANK(G219),F219,(G219+F219)/2)))</f>
        <v/>
      </c>
      <c r="E219" s="6"/>
      <c r="F219" s="6"/>
      <c r="G219" s="6"/>
      <c r="H219" s="6"/>
      <c r="I219" s="6"/>
      <c r="J219" s="6" t="s">
        <v>11</v>
      </c>
      <c r="K219" s="32">
        <f t="shared" si="22"/>
        <v>-28.65560522810523</v>
      </c>
      <c r="L219" s="32" t="e">
        <v>#VALUE!</v>
      </c>
      <c r="M219" s="32" t="e">
        <v>#VALUE!</v>
      </c>
      <c r="N219" s="32">
        <v>2.4613369963369927</v>
      </c>
      <c r="O219" s="32" t="e">
        <v>#DIV/0!</v>
      </c>
      <c r="P219" s="128" t="str">
        <f t="shared" si="24"/>
        <v/>
      </c>
      <c r="Q219" s="128" t="str">
        <f t="shared" si="25"/>
        <v/>
      </c>
      <c r="R219" s="128" t="str">
        <f t="shared" si="26"/>
        <v/>
      </c>
      <c r="S219" s="115"/>
      <c r="T219" s="116"/>
      <c r="U219" s="116"/>
      <c r="V219" s="116"/>
      <c r="W219" s="116"/>
      <c r="X219" s="6" t="s">
        <v>16</v>
      </c>
      <c r="AC219"/>
      <c r="AD219"/>
    </row>
    <row r="220" spans="1:30" x14ac:dyDescent="0.3">
      <c r="A220" s="4">
        <v>622</v>
      </c>
      <c r="B220" s="8">
        <v>-29.322014652014651</v>
      </c>
      <c r="C220" s="8">
        <v>-28.028110223110222</v>
      </c>
      <c r="D220" s="6" t="str">
        <f t="shared" si="27"/>
        <v/>
      </c>
      <c r="E220" s="6"/>
      <c r="F220" s="6"/>
      <c r="G220" s="6"/>
      <c r="H220" s="6"/>
      <c r="I220" s="6"/>
      <c r="J220" s="6" t="s">
        <v>11</v>
      </c>
      <c r="K220" s="32">
        <f t="shared" si="22"/>
        <v>-28.675062437562438</v>
      </c>
      <c r="L220" s="32" t="e">
        <v>#VALUE!</v>
      </c>
      <c r="M220" s="32" t="e">
        <v>#VALUE!</v>
      </c>
      <c r="N220" s="32">
        <v>1.2939044289044297</v>
      </c>
      <c r="O220" s="32" t="e">
        <v>#DIV/0!</v>
      </c>
      <c r="P220" s="128" t="str">
        <f t="shared" si="24"/>
        <v/>
      </c>
      <c r="Q220" s="128" t="str">
        <f t="shared" si="25"/>
        <v/>
      </c>
      <c r="R220" s="128" t="str">
        <f t="shared" si="26"/>
        <v/>
      </c>
      <c r="S220" s="115"/>
      <c r="T220" s="116"/>
      <c r="U220" s="116"/>
      <c r="V220" s="116"/>
      <c r="W220" s="116"/>
      <c r="X220" s="6" t="s">
        <v>16</v>
      </c>
      <c r="AC220"/>
      <c r="AD220"/>
    </row>
    <row r="221" spans="1:30" x14ac:dyDescent="0.3">
      <c r="A221" s="4">
        <v>623</v>
      </c>
      <c r="B221" s="8">
        <v>-28.446440226440224</v>
      </c>
      <c r="C221" s="8">
        <v>-28.465897435897435</v>
      </c>
      <c r="D221" s="6" t="str">
        <f t="shared" si="27"/>
        <v/>
      </c>
      <c r="E221" s="6"/>
      <c r="F221" s="6"/>
      <c r="G221" s="6"/>
      <c r="H221" s="6"/>
      <c r="I221" s="6"/>
      <c r="J221" s="6" t="s">
        <v>11</v>
      </c>
      <c r="K221" s="32">
        <f t="shared" si="22"/>
        <v>-28.456168831168831</v>
      </c>
      <c r="L221" s="32" t="e">
        <v>#VALUE!</v>
      </c>
      <c r="M221" s="32" t="e">
        <v>#VALUE!</v>
      </c>
      <c r="N221" s="32">
        <v>-1.9457209457211633E-2</v>
      </c>
      <c r="O221" s="32" t="e">
        <v>#DIV/0!</v>
      </c>
      <c r="P221" s="128" t="str">
        <f t="shared" si="24"/>
        <v/>
      </c>
      <c r="Q221" s="128" t="str">
        <f t="shared" si="25"/>
        <v/>
      </c>
      <c r="R221" s="128" t="str">
        <f t="shared" si="26"/>
        <v/>
      </c>
      <c r="S221" s="115"/>
      <c r="T221" s="116"/>
      <c r="U221" s="116"/>
      <c r="V221" s="116"/>
      <c r="W221" s="116"/>
      <c r="X221" s="6" t="s">
        <v>16</v>
      </c>
      <c r="AC221"/>
      <c r="AD221"/>
    </row>
    <row r="222" spans="1:30" x14ac:dyDescent="0.3">
      <c r="A222" s="4">
        <v>624</v>
      </c>
      <c r="B222" s="8">
        <v>-28.281053946053945</v>
      </c>
      <c r="C222" s="8">
        <v>-27.395750915750916</v>
      </c>
      <c r="D222" s="6" t="str">
        <f t="shared" si="27"/>
        <v/>
      </c>
      <c r="E222" s="6"/>
      <c r="F222" s="6"/>
      <c r="G222" s="6"/>
      <c r="H222" s="6"/>
      <c r="I222" s="6"/>
      <c r="J222" s="6" t="s">
        <v>11</v>
      </c>
      <c r="K222" s="32">
        <f t="shared" si="22"/>
        <v>-27.83840243090243</v>
      </c>
      <c r="L222" s="32" t="e">
        <v>#VALUE!</v>
      </c>
      <c r="M222" s="32" t="e">
        <v>#VALUE!</v>
      </c>
      <c r="N222" s="32">
        <v>0.88530303030302804</v>
      </c>
      <c r="O222" s="32" t="e">
        <v>#DIV/0!</v>
      </c>
      <c r="P222" s="128" t="str">
        <f t="shared" si="24"/>
        <v/>
      </c>
      <c r="Q222" s="128" t="str">
        <f t="shared" si="25"/>
        <v/>
      </c>
      <c r="R222" s="128" t="str">
        <f t="shared" si="26"/>
        <v/>
      </c>
      <c r="S222" s="115"/>
      <c r="T222" s="116"/>
      <c r="U222" s="116"/>
      <c r="V222" s="116"/>
      <c r="W222" s="116"/>
      <c r="X222" s="6" t="s">
        <v>16</v>
      </c>
      <c r="AC222"/>
      <c r="AD222"/>
    </row>
    <row r="223" spans="1:30" x14ac:dyDescent="0.3">
      <c r="A223" s="4">
        <v>625</v>
      </c>
      <c r="B223" s="18">
        <v>-28.441497904406717</v>
      </c>
      <c r="C223" s="18">
        <v>-26.488037672616471</v>
      </c>
      <c r="D223" s="6">
        <f t="shared" si="27"/>
        <v>-26.695817269634663</v>
      </c>
      <c r="E223" s="18">
        <v>-26.55552168866182</v>
      </c>
      <c r="F223" s="18">
        <v>-26.975767168680754</v>
      </c>
      <c r="G223" s="18">
        <v>-26.415867370588572</v>
      </c>
      <c r="H223" s="18">
        <v>-26.761468149715217</v>
      </c>
      <c r="I223" s="20"/>
      <c r="J223" s="6" t="s">
        <v>11</v>
      </c>
      <c r="K223" s="32">
        <f t="shared" si="22"/>
        <v>-26.9287515124315</v>
      </c>
      <c r="L223" s="32">
        <v>0.14029558097284323</v>
      </c>
      <c r="M223" s="32">
        <v>-0.20777959701819171</v>
      </c>
      <c r="N223" s="32">
        <v>1.9534602317902454</v>
      </c>
      <c r="O223" s="32">
        <v>0.83909830936335084</v>
      </c>
      <c r="P223" s="128">
        <f t="shared" si="24"/>
        <v>1.7456806347720537</v>
      </c>
      <c r="Q223" s="128">
        <f t="shared" si="25"/>
        <v>-0.20777959701819171</v>
      </c>
      <c r="R223" s="128">
        <f t="shared" si="26"/>
        <v>0.768950518876931</v>
      </c>
      <c r="S223" s="115">
        <v>0</v>
      </c>
      <c r="T223" s="116">
        <v>0</v>
      </c>
      <c r="U223" s="116">
        <v>0</v>
      </c>
      <c r="V223" s="116">
        <v>0</v>
      </c>
      <c r="W223" s="116">
        <v>1</v>
      </c>
      <c r="X223" s="6" t="s">
        <v>16</v>
      </c>
      <c r="AC223"/>
      <c r="AD223"/>
    </row>
    <row r="224" spans="1:30" x14ac:dyDescent="0.3">
      <c r="A224" s="4">
        <v>626</v>
      </c>
      <c r="B224" s="18">
        <v>-29.759583153395983</v>
      </c>
      <c r="C224" s="18">
        <v>-27.444534481570201</v>
      </c>
      <c r="D224" s="6">
        <f t="shared" si="27"/>
        <v>-27.927249954519432</v>
      </c>
      <c r="E224" s="18">
        <v>-27.710005186645617</v>
      </c>
      <c r="F224" s="18">
        <v>-28.602084896831336</v>
      </c>
      <c r="G224" s="18">
        <v>-27.252415012207528</v>
      </c>
      <c r="H224" s="20"/>
      <c r="I224" s="20"/>
      <c r="J224" s="6" t="s">
        <v>11</v>
      </c>
      <c r="K224" s="32">
        <f t="shared" si="22"/>
        <v>-28.115978780861685</v>
      </c>
      <c r="L224" s="32">
        <v>0.21724476787381519</v>
      </c>
      <c r="M224" s="32">
        <v>-0.48271547294923067</v>
      </c>
      <c r="N224" s="32">
        <v>2.3150486718257817</v>
      </c>
      <c r="O224" s="32">
        <v>0.78343124690056598</v>
      </c>
      <c r="P224" s="128">
        <f t="shared" si="24"/>
        <v>1.832333198876551</v>
      </c>
      <c r="Q224" s="128">
        <f t="shared" si="25"/>
        <v>-0.48271547294923067</v>
      </c>
      <c r="R224" s="128">
        <f t="shared" si="26"/>
        <v>0.67480886296365838</v>
      </c>
      <c r="S224" s="115">
        <v>0</v>
      </c>
      <c r="T224" s="116">
        <v>0</v>
      </c>
      <c r="U224" s="116">
        <v>0</v>
      </c>
      <c r="V224" s="116">
        <v>0</v>
      </c>
      <c r="W224" s="116">
        <v>1</v>
      </c>
      <c r="X224" s="6" t="s">
        <v>16</v>
      </c>
      <c r="AC224"/>
      <c r="AD224"/>
    </row>
    <row r="225" spans="1:30" x14ac:dyDescent="0.3">
      <c r="A225" s="4">
        <v>627</v>
      </c>
      <c r="B225" s="18">
        <v>-30.286894284939223</v>
      </c>
      <c r="C225" s="18">
        <v>-29.065511106074357</v>
      </c>
      <c r="D225" s="6">
        <f t="shared" si="27"/>
        <v>-28.256731216793412</v>
      </c>
      <c r="E225" s="18">
        <v>-28.409151683153063</v>
      </c>
      <c r="F225" s="18">
        <v>-28.726381235790754</v>
      </c>
      <c r="G225" s="18">
        <v>-27.787081197796073</v>
      </c>
      <c r="H225" s="20"/>
      <c r="I225" s="20"/>
      <c r="J225" s="4" t="s">
        <v>18</v>
      </c>
      <c r="K225" s="32">
        <f t="shared" si="22"/>
        <v>-28.755291787424479</v>
      </c>
      <c r="L225" s="32">
        <v>-0.15242046635965067</v>
      </c>
      <c r="M225" s="32">
        <v>0.80877988928094524</v>
      </c>
      <c r="N225" s="32">
        <v>1.2213831788648655</v>
      </c>
      <c r="O225" s="32">
        <v>1.3432612455335509</v>
      </c>
      <c r="P225" s="128">
        <f t="shared" si="24"/>
        <v>1.87774260178616</v>
      </c>
      <c r="Q225" s="128">
        <f t="shared" si="25"/>
        <v>0.65635942292129457</v>
      </c>
      <c r="R225" s="128">
        <f t="shared" si="26"/>
        <v>1.2670510123537255</v>
      </c>
      <c r="S225" s="115">
        <v>0</v>
      </c>
      <c r="T225" s="116">
        <v>0</v>
      </c>
      <c r="U225" s="116">
        <v>0</v>
      </c>
      <c r="V225" s="116">
        <v>0</v>
      </c>
      <c r="W225" s="116">
        <v>0</v>
      </c>
      <c r="X225" s="6" t="s">
        <v>16</v>
      </c>
      <c r="AC225"/>
      <c r="AD225"/>
    </row>
    <row r="226" spans="1:30" x14ac:dyDescent="0.3">
      <c r="A226" s="4">
        <v>628</v>
      </c>
      <c r="B226" s="18">
        <v>-29.590090726538513</v>
      </c>
      <c r="C226" s="18">
        <v>-28.92265499700828</v>
      </c>
      <c r="D226" s="6">
        <f t="shared" si="27"/>
        <v>-28.93269770392893</v>
      </c>
      <c r="E226" s="18">
        <v>-29.023226193894601</v>
      </c>
      <c r="F226" s="18">
        <v>-29.384911749502017</v>
      </c>
      <c r="G226" s="18">
        <v>-28.480483658355841</v>
      </c>
      <c r="H226" s="20"/>
      <c r="I226" s="20"/>
      <c r="J226" s="4" t="s">
        <v>18</v>
      </c>
      <c r="K226" s="32">
        <f t="shared" si="22"/>
        <v>-29.055677504871365</v>
      </c>
      <c r="L226" s="32">
        <v>-9.0528489965670644E-2</v>
      </c>
      <c r="M226" s="32">
        <v>-1.0042706920650346E-2</v>
      </c>
      <c r="N226" s="32">
        <v>0.66743572953023289</v>
      </c>
      <c r="O226" s="32">
        <v>0.27841091286163078</v>
      </c>
      <c r="P226" s="128">
        <f t="shared" si="24"/>
        <v>0.5668645326439119</v>
      </c>
      <c r="Q226" s="128">
        <f t="shared" si="25"/>
        <v>-0.10057119688632099</v>
      </c>
      <c r="R226" s="128">
        <f t="shared" si="26"/>
        <v>0.23314666787879545</v>
      </c>
      <c r="S226" s="115">
        <v>0</v>
      </c>
      <c r="T226" s="116">
        <v>0</v>
      </c>
      <c r="U226" s="116">
        <v>0</v>
      </c>
      <c r="V226" s="116">
        <v>0</v>
      </c>
      <c r="W226" s="116">
        <v>0</v>
      </c>
      <c r="X226" s="6" t="s">
        <v>16</v>
      </c>
      <c r="AC226"/>
      <c r="AD226"/>
    </row>
    <row r="227" spans="1:30" x14ac:dyDescent="0.3">
      <c r="A227" s="4">
        <v>629</v>
      </c>
      <c r="B227" s="21"/>
      <c r="C227" s="18">
        <v>-28.804439546869858</v>
      </c>
      <c r="D227" s="6">
        <f t="shared" si="27"/>
        <v>-29.025373453046747</v>
      </c>
      <c r="E227" s="18">
        <v>-28.492407780812805</v>
      </c>
      <c r="F227" s="18">
        <v>-29.822689682127017</v>
      </c>
      <c r="G227" s="18">
        <v>-28.228057223966474</v>
      </c>
      <c r="H227" s="20"/>
      <c r="I227" s="20"/>
      <c r="J227" s="4" t="s">
        <v>18</v>
      </c>
      <c r="K227" s="32">
        <f t="shared" si="22"/>
        <v>-28.874593537364582</v>
      </c>
      <c r="L227" s="32">
        <v>0.5329656722339422</v>
      </c>
      <c r="M227" s="32">
        <v>-0.22093390617688868</v>
      </c>
      <c r="N227" s="32">
        <v>-28.804439546869858</v>
      </c>
      <c r="O227" s="32">
        <v>4.5548929940082417E-2</v>
      </c>
      <c r="P227" s="128" t="str">
        <f t="shared" si="24"/>
        <v/>
      </c>
      <c r="Q227" s="128" t="str">
        <f t="shared" si="25"/>
        <v/>
      </c>
      <c r="R227" s="128" t="str">
        <f t="shared" si="26"/>
        <v/>
      </c>
      <c r="S227" s="115"/>
      <c r="T227" s="116"/>
      <c r="U227" s="116"/>
      <c r="V227" s="116"/>
      <c r="W227" s="116"/>
      <c r="X227" s="6" t="s">
        <v>16</v>
      </c>
      <c r="AC227"/>
      <c r="AD227"/>
    </row>
    <row r="228" spans="1:30" s="47" customFormat="1" x14ac:dyDescent="0.3">
      <c r="A228" s="40">
        <v>630</v>
      </c>
      <c r="B228" s="62"/>
      <c r="C228" s="62"/>
      <c r="D228" s="43" t="str">
        <f t="shared" si="27"/>
        <v/>
      </c>
      <c r="E228" s="63">
        <v>-28.250411887771833</v>
      </c>
      <c r="F228" s="64"/>
      <c r="G228" s="64"/>
      <c r="H228" s="62"/>
      <c r="I228" s="62"/>
      <c r="J228" s="4" t="s">
        <v>11</v>
      </c>
      <c r="K228" s="46">
        <f t="shared" si="22"/>
        <v>-28.250411887771833</v>
      </c>
      <c r="L228" s="32" t="e">
        <v>#VALUE!</v>
      </c>
      <c r="M228" s="32" t="e">
        <v>#VALUE!</v>
      </c>
      <c r="N228" s="32">
        <v>0</v>
      </c>
      <c r="O228" s="32" t="e">
        <v>#DIV/0!</v>
      </c>
      <c r="P228" s="128" t="str">
        <f t="shared" si="24"/>
        <v/>
      </c>
      <c r="Q228" s="128" t="str">
        <f t="shared" si="25"/>
        <v/>
      </c>
      <c r="R228" s="128" t="str">
        <f t="shared" si="26"/>
        <v/>
      </c>
      <c r="S228" s="118"/>
      <c r="T228" s="104"/>
      <c r="U228" s="104"/>
      <c r="V228" s="104"/>
      <c r="W228" s="104"/>
      <c r="Y228"/>
    </row>
    <row r="229" spans="1:30" s="47" customFormat="1" x14ac:dyDescent="0.3">
      <c r="A229" s="40">
        <v>631</v>
      </c>
      <c r="B229" s="63">
        <v>-29.156720114710016</v>
      </c>
      <c r="C229" s="65">
        <v>-28.174043017628822</v>
      </c>
      <c r="D229" s="43" t="str">
        <f t="shared" si="27"/>
        <v/>
      </c>
      <c r="E229" s="62"/>
      <c r="F229" s="62"/>
      <c r="G229" s="62"/>
      <c r="H229" s="43"/>
      <c r="I229" s="43"/>
      <c r="J229" s="4" t="s">
        <v>11</v>
      </c>
      <c r="K229" s="46">
        <f t="shared" si="22"/>
        <v>-28.665381566169419</v>
      </c>
      <c r="L229" s="32" t="e">
        <v>#VALUE!</v>
      </c>
      <c r="M229" s="32" t="e">
        <v>#VALUE!</v>
      </c>
      <c r="N229" s="32">
        <v>0.98267709708119355</v>
      </c>
      <c r="O229" s="32" t="e">
        <v>#DIV/0!</v>
      </c>
      <c r="P229" s="128" t="str">
        <f t="shared" si="24"/>
        <v/>
      </c>
      <c r="Q229" s="128" t="str">
        <f t="shared" si="25"/>
        <v/>
      </c>
      <c r="R229" s="128" t="str">
        <f t="shared" si="26"/>
        <v/>
      </c>
      <c r="S229" s="118"/>
      <c r="T229" s="104">
        <v>0</v>
      </c>
      <c r="U229" s="104">
        <v>0</v>
      </c>
      <c r="V229" s="104">
        <v>0</v>
      </c>
      <c r="W229" s="104"/>
      <c r="Y229"/>
    </row>
    <row r="230" spans="1:30" s="47" customFormat="1" x14ac:dyDescent="0.3">
      <c r="A230" s="40">
        <v>632</v>
      </c>
      <c r="B230" s="63">
        <v>-30.581909148449132</v>
      </c>
      <c r="C230" s="65">
        <v>-29.597302566693727</v>
      </c>
      <c r="D230" s="43" t="str">
        <f t="shared" si="27"/>
        <v/>
      </c>
      <c r="E230" s="62"/>
      <c r="F230" s="62"/>
      <c r="G230" s="62"/>
      <c r="H230" s="43"/>
      <c r="I230" s="43"/>
      <c r="J230" s="4" t="s">
        <v>18</v>
      </c>
      <c r="K230" s="46">
        <f t="shared" si="22"/>
        <v>-30.089605857571428</v>
      </c>
      <c r="L230" s="32" t="e">
        <v>#VALUE!</v>
      </c>
      <c r="M230" s="32" t="e">
        <v>#VALUE!</v>
      </c>
      <c r="N230" s="32">
        <v>0.98460658175540416</v>
      </c>
      <c r="O230" s="32" t="e">
        <v>#DIV/0!</v>
      </c>
      <c r="P230" s="128" t="str">
        <f t="shared" si="24"/>
        <v/>
      </c>
      <c r="Q230" s="128" t="str">
        <f t="shared" si="25"/>
        <v/>
      </c>
      <c r="R230" s="128" t="str">
        <f t="shared" si="26"/>
        <v/>
      </c>
      <c r="S230" s="118"/>
      <c r="T230" s="104">
        <v>0</v>
      </c>
      <c r="U230" s="104">
        <v>0</v>
      </c>
      <c r="V230" s="104">
        <v>0</v>
      </c>
      <c r="W230" s="104"/>
      <c r="Y230"/>
    </row>
    <row r="231" spans="1:30" s="47" customFormat="1" x14ac:dyDescent="0.3">
      <c r="A231" s="40">
        <v>633</v>
      </c>
      <c r="B231" s="63">
        <v>-30.059119014811067</v>
      </c>
      <c r="C231" s="65">
        <v>-29.780319516583461</v>
      </c>
      <c r="D231" s="43" t="str">
        <f t="shared" si="27"/>
        <v/>
      </c>
      <c r="E231" s="62"/>
      <c r="F231" s="62"/>
      <c r="G231" s="62"/>
      <c r="H231" s="43"/>
      <c r="I231" s="43"/>
      <c r="J231" s="4" t="s">
        <v>18</v>
      </c>
      <c r="K231" s="46">
        <f t="shared" si="22"/>
        <v>-29.919719265697264</v>
      </c>
      <c r="L231" s="32" t="e">
        <v>#VALUE!</v>
      </c>
      <c r="M231" s="32" t="e">
        <v>#VALUE!</v>
      </c>
      <c r="N231" s="32">
        <v>0.27879949822760608</v>
      </c>
      <c r="O231" s="32" t="e">
        <v>#DIV/0!</v>
      </c>
      <c r="P231" s="128" t="str">
        <f t="shared" si="24"/>
        <v/>
      </c>
      <c r="Q231" s="128" t="str">
        <f t="shared" si="25"/>
        <v/>
      </c>
      <c r="R231" s="128" t="str">
        <f t="shared" si="26"/>
        <v/>
      </c>
      <c r="S231" s="118"/>
      <c r="T231" s="104">
        <v>0</v>
      </c>
      <c r="U231" s="104">
        <v>0</v>
      </c>
      <c r="V231" s="104">
        <v>0</v>
      </c>
      <c r="W231" s="104"/>
      <c r="Y231"/>
    </row>
    <row r="232" spans="1:30" s="47" customFormat="1" x14ac:dyDescent="0.3">
      <c r="A232" s="40">
        <v>634</v>
      </c>
      <c r="B232" s="63">
        <v>-29.916769206743805</v>
      </c>
      <c r="C232" s="65">
        <v>-28.916756500210028</v>
      </c>
      <c r="D232" s="43" t="str">
        <f t="shared" si="27"/>
        <v/>
      </c>
      <c r="E232" s="62"/>
      <c r="F232" s="62"/>
      <c r="G232" s="62"/>
      <c r="H232" s="43"/>
      <c r="I232" s="43"/>
      <c r="J232" s="4" t="s">
        <v>18</v>
      </c>
      <c r="K232" s="46">
        <f t="shared" si="22"/>
        <v>-29.416762853476918</v>
      </c>
      <c r="L232" s="32" t="e">
        <v>#VALUE!</v>
      </c>
      <c r="M232" s="32" t="e">
        <v>#VALUE!</v>
      </c>
      <c r="N232" s="32">
        <v>1.0000127065337772</v>
      </c>
      <c r="O232" s="32" t="e">
        <v>#DIV/0!</v>
      </c>
      <c r="P232" s="128" t="str">
        <f t="shared" si="24"/>
        <v/>
      </c>
      <c r="Q232" s="128" t="str">
        <f t="shared" si="25"/>
        <v/>
      </c>
      <c r="R232" s="128" t="str">
        <f t="shared" si="26"/>
        <v/>
      </c>
      <c r="S232" s="118"/>
      <c r="T232" s="104">
        <v>0</v>
      </c>
      <c r="U232" s="104">
        <v>0</v>
      </c>
      <c r="V232" s="104">
        <v>0</v>
      </c>
      <c r="W232" s="104"/>
      <c r="Y232"/>
    </row>
    <row r="233" spans="1:30" s="47" customFormat="1" x14ac:dyDescent="0.3">
      <c r="A233" s="40">
        <v>635</v>
      </c>
      <c r="B233" s="63">
        <v>-31.174586176618011</v>
      </c>
      <c r="C233" s="65">
        <v>-30.574810000686199</v>
      </c>
      <c r="D233" s="43" t="str">
        <f t="shared" si="27"/>
        <v/>
      </c>
      <c r="E233" s="62"/>
      <c r="F233" s="62"/>
      <c r="G233" s="62"/>
      <c r="H233" s="43"/>
      <c r="I233" s="43"/>
      <c r="J233" s="4" t="s">
        <v>18</v>
      </c>
      <c r="K233" s="46">
        <f t="shared" si="22"/>
        <v>-30.874698088652103</v>
      </c>
      <c r="L233" s="32" t="e">
        <v>#VALUE!</v>
      </c>
      <c r="M233" s="32" t="e">
        <v>#VALUE!</v>
      </c>
      <c r="N233" s="32">
        <v>0.59977617593181165</v>
      </c>
      <c r="O233" s="32" t="e">
        <v>#DIV/0!</v>
      </c>
      <c r="P233" s="128" t="str">
        <f t="shared" si="24"/>
        <v/>
      </c>
      <c r="Q233" s="128" t="str">
        <f t="shared" si="25"/>
        <v/>
      </c>
      <c r="R233" s="128" t="str">
        <f t="shared" si="26"/>
        <v/>
      </c>
      <c r="S233" s="118"/>
      <c r="T233" s="104">
        <v>0</v>
      </c>
      <c r="U233" s="104">
        <v>0</v>
      </c>
      <c r="V233" s="104">
        <v>0</v>
      </c>
      <c r="W233" s="104"/>
      <c r="Y233"/>
    </row>
    <row r="234" spans="1:30" s="47" customFormat="1" x14ac:dyDescent="0.3">
      <c r="A234" s="40">
        <v>636</v>
      </c>
      <c r="B234" s="63">
        <v>-29.908420276793798</v>
      </c>
      <c r="C234" s="65">
        <v>-29.167205492621072</v>
      </c>
      <c r="D234" s="43" t="str">
        <f t="shared" si="27"/>
        <v/>
      </c>
      <c r="E234" s="62"/>
      <c r="F234" s="62"/>
      <c r="G234" s="62"/>
      <c r="H234" s="43"/>
      <c r="I234" s="43"/>
      <c r="J234" s="4" t="s">
        <v>18</v>
      </c>
      <c r="K234" s="46">
        <f t="shared" si="22"/>
        <v>-29.537812884707435</v>
      </c>
      <c r="L234" s="32" t="e">
        <v>#VALUE!</v>
      </c>
      <c r="M234" s="32" t="e">
        <v>#VALUE!</v>
      </c>
      <c r="N234" s="32">
        <v>0.74121478417272613</v>
      </c>
      <c r="O234" s="32" t="e">
        <v>#DIV/0!</v>
      </c>
      <c r="P234" s="128" t="str">
        <f t="shared" si="24"/>
        <v/>
      </c>
      <c r="Q234" s="128" t="str">
        <f t="shared" si="25"/>
        <v/>
      </c>
      <c r="R234" s="128" t="str">
        <f t="shared" si="26"/>
        <v/>
      </c>
      <c r="S234" s="118"/>
      <c r="T234" s="104">
        <v>0</v>
      </c>
      <c r="U234" s="104">
        <v>0</v>
      </c>
      <c r="V234" s="104">
        <v>0</v>
      </c>
      <c r="W234" s="104"/>
      <c r="Y234"/>
    </row>
    <row r="235" spans="1:30" s="47" customFormat="1" x14ac:dyDescent="0.3">
      <c r="A235" s="40">
        <v>637</v>
      </c>
      <c r="B235" s="63">
        <v>-30.138860398854774</v>
      </c>
      <c r="C235" s="65">
        <v>-28.29846104999973</v>
      </c>
      <c r="D235" s="43" t="str">
        <f t="shared" si="27"/>
        <v/>
      </c>
      <c r="E235" s="62"/>
      <c r="F235" s="62"/>
      <c r="G235" s="62"/>
      <c r="H235" s="43"/>
      <c r="I235" s="43"/>
      <c r="J235" s="4" t="s">
        <v>18</v>
      </c>
      <c r="K235" s="46">
        <f t="shared" si="22"/>
        <v>-29.218660724427252</v>
      </c>
      <c r="L235" s="32" t="e">
        <v>#VALUE!</v>
      </c>
      <c r="M235" s="32" t="e">
        <v>#VALUE!</v>
      </c>
      <c r="N235" s="32">
        <v>1.8403993488550441</v>
      </c>
      <c r="O235" s="32" t="e">
        <v>#DIV/0!</v>
      </c>
      <c r="P235" s="128" t="str">
        <f t="shared" si="24"/>
        <v/>
      </c>
      <c r="Q235" s="128" t="str">
        <f t="shared" si="25"/>
        <v/>
      </c>
      <c r="R235" s="128" t="str">
        <f t="shared" si="26"/>
        <v/>
      </c>
      <c r="S235" s="118"/>
      <c r="T235" s="104">
        <v>0</v>
      </c>
      <c r="U235" s="104">
        <v>0</v>
      </c>
      <c r="V235" s="104">
        <v>0</v>
      </c>
      <c r="W235" s="104"/>
      <c r="Y235"/>
    </row>
    <row r="236" spans="1:30" x14ac:dyDescent="0.3">
      <c r="A236" s="4">
        <v>638</v>
      </c>
      <c r="B236" s="18">
        <v>-29.541156755044135</v>
      </c>
      <c r="C236" s="18">
        <v>-26.803862578663306</v>
      </c>
      <c r="D236" s="18">
        <v>-27.499858190923895</v>
      </c>
      <c r="E236" s="18">
        <v>-36.288519249283887</v>
      </c>
      <c r="F236" s="20"/>
      <c r="G236" s="6"/>
      <c r="H236" s="6"/>
      <c r="I236" s="6"/>
      <c r="J236" s="4" t="s">
        <v>18</v>
      </c>
      <c r="K236" s="32">
        <f t="shared" si="22"/>
        <v>-30.033349193478806</v>
      </c>
      <c r="L236" s="32">
        <v>-8.7886610583599918</v>
      </c>
      <c r="M236" s="32">
        <v>-0.69599561226058881</v>
      </c>
      <c r="N236" s="32">
        <v>2.7372941763808285</v>
      </c>
      <c r="O236" s="32">
        <v>-3.7216790532501705</v>
      </c>
      <c r="P236" s="128">
        <f t="shared" si="24"/>
        <v>-6.7473624942397521</v>
      </c>
      <c r="Q236" s="128">
        <f t="shared" si="25"/>
        <v>-9.4846566706205806</v>
      </c>
      <c r="R236" s="128">
        <f t="shared" si="26"/>
        <v>-8.1160095824301663</v>
      </c>
      <c r="S236" s="115">
        <v>0</v>
      </c>
      <c r="T236" s="99">
        <v>0</v>
      </c>
      <c r="U236" s="99">
        <v>0</v>
      </c>
      <c r="V236" s="99">
        <v>0</v>
      </c>
      <c r="W236" s="99">
        <v>0</v>
      </c>
      <c r="X236" t="s">
        <v>17</v>
      </c>
      <c r="AC236"/>
      <c r="AD236"/>
    </row>
    <row r="237" spans="1:30" x14ac:dyDescent="0.3">
      <c r="A237" s="4">
        <v>639</v>
      </c>
      <c r="B237" s="18">
        <v>-30.490989212008419</v>
      </c>
      <c r="C237" s="18">
        <v>-29.512549011277276</v>
      </c>
      <c r="D237" s="18">
        <v>-29.347978664743515</v>
      </c>
      <c r="E237" s="18">
        <v>-28.744212899950139</v>
      </c>
      <c r="F237" s="20"/>
      <c r="G237" s="6"/>
      <c r="H237" s="6"/>
      <c r="I237" s="6"/>
      <c r="J237" s="4" t="s">
        <v>18</v>
      </c>
      <c r="K237" s="32">
        <f t="shared" si="22"/>
        <v>-29.523932446994838</v>
      </c>
      <c r="L237" s="32">
        <v>0.60376576479337629</v>
      </c>
      <c r="M237" s="32">
        <v>0.16457034653376112</v>
      </c>
      <c r="N237" s="32">
        <v>0.9784402007311428</v>
      </c>
      <c r="O237" s="32">
        <v>0.95567332929602244</v>
      </c>
      <c r="P237" s="128">
        <f t="shared" si="24"/>
        <v>1.1430105472649039</v>
      </c>
      <c r="Q237" s="128">
        <f t="shared" si="25"/>
        <v>0.16457034653376112</v>
      </c>
      <c r="R237" s="128">
        <f t="shared" si="26"/>
        <v>0.65379044689933252</v>
      </c>
      <c r="S237" s="115">
        <v>0</v>
      </c>
      <c r="T237" s="99">
        <v>0</v>
      </c>
      <c r="U237" s="99">
        <v>0</v>
      </c>
      <c r="V237" s="99">
        <v>0</v>
      </c>
      <c r="W237" s="99">
        <v>0</v>
      </c>
      <c r="X237" t="s">
        <v>16</v>
      </c>
      <c r="AC237"/>
      <c r="AD237"/>
    </row>
    <row r="238" spans="1:30" x14ac:dyDescent="0.3">
      <c r="A238" s="4">
        <v>640</v>
      </c>
      <c r="B238" s="18">
        <v>-29.494076510021273</v>
      </c>
      <c r="C238" s="18">
        <v>-29.771101246280793</v>
      </c>
      <c r="D238" s="18">
        <v>-29.577943466186792</v>
      </c>
      <c r="E238" s="18">
        <v>-29.677850706308611</v>
      </c>
      <c r="F238" s="20"/>
      <c r="G238" s="6"/>
      <c r="H238" s="6"/>
      <c r="I238" s="6"/>
      <c r="J238" s="4" t="s">
        <v>18</v>
      </c>
      <c r="K238" s="32">
        <f t="shared" si="22"/>
        <v>-29.63024298219937</v>
      </c>
      <c r="L238" s="32">
        <v>-9.9907240121819285E-2</v>
      </c>
      <c r="M238" s="32">
        <v>0.1931577800940012</v>
      </c>
      <c r="N238" s="32">
        <v>-0.27702473625951995</v>
      </c>
      <c r="O238" s="32">
        <v>4.6917919033333533E-3</v>
      </c>
      <c r="P238" s="128">
        <f t="shared" si="24"/>
        <v>9.3250539972181912E-2</v>
      </c>
      <c r="Q238" s="128">
        <f t="shared" si="25"/>
        <v>-0.18377419628733804</v>
      </c>
      <c r="R238" s="128">
        <f t="shared" si="26"/>
        <v>-4.5261828157578066E-2</v>
      </c>
      <c r="S238" s="115">
        <v>0</v>
      </c>
      <c r="T238" s="99">
        <v>1</v>
      </c>
      <c r="U238" s="99">
        <v>1</v>
      </c>
      <c r="V238" s="99">
        <v>1</v>
      </c>
      <c r="W238" s="99">
        <v>0</v>
      </c>
      <c r="X238" t="s">
        <v>16</v>
      </c>
      <c r="AC238"/>
      <c r="AD238"/>
    </row>
    <row r="239" spans="1:30" x14ac:dyDescent="0.3">
      <c r="A239" s="4">
        <v>641</v>
      </c>
      <c r="B239" s="18">
        <v>-28.821564522175034</v>
      </c>
      <c r="C239" s="18">
        <v>-27.321055942058731</v>
      </c>
      <c r="D239" s="18">
        <v>-27.561992395755588</v>
      </c>
      <c r="E239" s="18">
        <v>-28.313875583742998</v>
      </c>
      <c r="F239" s="20"/>
      <c r="G239" s="6"/>
      <c r="H239" s="6"/>
      <c r="I239" s="6"/>
      <c r="J239" s="4" t="s">
        <v>11</v>
      </c>
      <c r="K239" s="32">
        <f t="shared" si="22"/>
        <v>-28.004622110933088</v>
      </c>
      <c r="L239" s="32">
        <v>-0.75188318798740994</v>
      </c>
      <c r="M239" s="32">
        <v>-0.24093645369685746</v>
      </c>
      <c r="N239" s="32">
        <v>1.5005085801163034</v>
      </c>
      <c r="O239" s="32">
        <v>0.13337624236758927</v>
      </c>
      <c r="P239" s="128">
        <f t="shared" si="24"/>
        <v>0.507688938432036</v>
      </c>
      <c r="Q239" s="128">
        <f t="shared" si="25"/>
        <v>-0.9928196416842674</v>
      </c>
      <c r="R239" s="128">
        <f t="shared" si="26"/>
        <v>-0.2425653516261157</v>
      </c>
      <c r="S239" s="115">
        <v>0</v>
      </c>
      <c r="T239" s="99">
        <v>0</v>
      </c>
      <c r="U239" s="99">
        <v>0</v>
      </c>
      <c r="V239" s="99">
        <v>0</v>
      </c>
      <c r="W239" s="99">
        <v>0</v>
      </c>
      <c r="X239" t="s">
        <v>16</v>
      </c>
      <c r="AC239"/>
      <c r="AD239"/>
    </row>
    <row r="240" spans="1:30" x14ac:dyDescent="0.3">
      <c r="A240" s="4">
        <v>642</v>
      </c>
      <c r="B240" s="18">
        <v>-30.004244929133286</v>
      </c>
      <c r="C240" s="18">
        <v>-26.898319603734151</v>
      </c>
      <c r="D240" s="18">
        <v>-29.625222930086345</v>
      </c>
      <c r="E240" s="18">
        <v>-28.784883152236297</v>
      </c>
      <c r="F240" s="20"/>
      <c r="G240" s="6"/>
      <c r="H240" s="6"/>
      <c r="I240" s="6"/>
      <c r="J240" s="4" t="s">
        <v>11</v>
      </c>
      <c r="K240" s="32">
        <f t="shared" si="22"/>
        <v>-28.828167653797522</v>
      </c>
      <c r="L240" s="32">
        <v>0.84033977785004765</v>
      </c>
      <c r="M240" s="32">
        <v>-2.7269033263521933</v>
      </c>
      <c r="N240" s="32">
        <v>3.1059253253991344</v>
      </c>
      <c r="O240" s="32">
        <v>-0.75377077472760234</v>
      </c>
      <c r="P240" s="128">
        <f t="shared" si="24"/>
        <v>0.379021999046941</v>
      </c>
      <c r="Q240" s="128">
        <f t="shared" si="25"/>
        <v>-2.7269033263521933</v>
      </c>
      <c r="R240" s="128">
        <f t="shared" si="26"/>
        <v>-1.1739406636526262</v>
      </c>
      <c r="S240" s="115">
        <v>1</v>
      </c>
      <c r="T240" s="99">
        <v>0</v>
      </c>
      <c r="U240" s="99">
        <v>0</v>
      </c>
      <c r="V240" s="99">
        <v>0</v>
      </c>
      <c r="W240" s="99">
        <v>0</v>
      </c>
      <c r="X240" t="s">
        <v>16</v>
      </c>
      <c r="AC240"/>
      <c r="AD240"/>
    </row>
    <row r="241" spans="1:30" x14ac:dyDescent="0.3">
      <c r="A241" s="4">
        <v>643</v>
      </c>
      <c r="B241" s="18">
        <v>-29.78093185856277</v>
      </c>
      <c r="C241" s="18">
        <v>-29.388192943374325</v>
      </c>
      <c r="D241" s="18">
        <v>-29.444059153335267</v>
      </c>
      <c r="E241" s="18">
        <v>-28.895833768562934</v>
      </c>
      <c r="F241" s="20"/>
      <c r="G241" s="6"/>
      <c r="H241" s="6"/>
      <c r="I241" s="6"/>
      <c r="J241" s="4" t="s">
        <v>18</v>
      </c>
      <c r="K241" s="32">
        <f t="shared" si="22"/>
        <v>-29.377254430958825</v>
      </c>
      <c r="L241" s="32">
        <v>0.54822538477233351</v>
      </c>
      <c r="M241" s="32">
        <v>-5.5866209960942825E-2</v>
      </c>
      <c r="N241" s="32">
        <v>0.3927389151884455</v>
      </c>
      <c r="O241" s="32">
        <v>0.41461594001944846</v>
      </c>
      <c r="P241" s="128">
        <f t="shared" si="24"/>
        <v>0.33687270522750268</v>
      </c>
      <c r="Q241" s="128">
        <f t="shared" si="25"/>
        <v>-5.5866209960942825E-2</v>
      </c>
      <c r="R241" s="128">
        <f t="shared" si="26"/>
        <v>0.14050324763327993</v>
      </c>
      <c r="S241" s="115">
        <v>0</v>
      </c>
      <c r="T241" s="99">
        <v>0</v>
      </c>
      <c r="U241" s="99">
        <v>0</v>
      </c>
      <c r="V241" s="99">
        <v>0</v>
      </c>
      <c r="W241" s="99">
        <v>0</v>
      </c>
      <c r="X241" t="s">
        <v>16</v>
      </c>
      <c r="AC241"/>
      <c r="AD241"/>
    </row>
    <row r="242" spans="1:30" x14ac:dyDescent="0.3">
      <c r="A242" s="4">
        <v>644</v>
      </c>
      <c r="B242" s="18">
        <v>-30.067470305045404</v>
      </c>
      <c r="C242" s="18">
        <v>-29.18394391431103</v>
      </c>
      <c r="D242" s="18">
        <v>-29.319670644224942</v>
      </c>
      <c r="E242" s="18">
        <v>-29.038946370225744</v>
      </c>
      <c r="F242" s="20"/>
      <c r="G242" s="6"/>
      <c r="H242" s="6"/>
      <c r="I242" s="6"/>
      <c r="J242" s="4" t="s">
        <v>18</v>
      </c>
      <c r="K242" s="32">
        <f t="shared" si="22"/>
        <v>-29.40250780845178</v>
      </c>
      <c r="L242" s="32">
        <v>0.28072427399919775</v>
      </c>
      <c r="M242" s="32">
        <v>-0.13572672991391244</v>
      </c>
      <c r="N242" s="32">
        <v>0.88352639073437444</v>
      </c>
      <c r="O242" s="32">
        <v>0.44639860245287366</v>
      </c>
      <c r="P242" s="128">
        <f t="shared" si="24"/>
        <v>0.74779966082046201</v>
      </c>
      <c r="Q242" s="128">
        <f t="shared" si="25"/>
        <v>-0.13572672991391244</v>
      </c>
      <c r="R242" s="128">
        <f t="shared" si="26"/>
        <v>0.30603646545327479</v>
      </c>
      <c r="S242" s="115">
        <v>0</v>
      </c>
      <c r="T242" s="99">
        <v>0</v>
      </c>
      <c r="U242" s="99">
        <v>0</v>
      </c>
      <c r="V242" s="99">
        <v>0</v>
      </c>
      <c r="W242" s="99">
        <v>0</v>
      </c>
      <c r="X242" t="s">
        <v>16</v>
      </c>
      <c r="AC242"/>
      <c r="AD242"/>
    </row>
    <row r="243" spans="1:30" x14ac:dyDescent="0.3">
      <c r="A243" s="4">
        <v>645</v>
      </c>
      <c r="B243" s="8">
        <v>-29.9</v>
      </c>
      <c r="C243" s="8">
        <v>-28.86</v>
      </c>
      <c r="D243" s="8">
        <v>-28.89</v>
      </c>
      <c r="E243" s="8">
        <v>-28.72</v>
      </c>
      <c r="F243" s="20"/>
      <c r="G243" s="6"/>
      <c r="H243" s="6"/>
      <c r="I243" s="6"/>
      <c r="J243" s="4" t="s">
        <v>18</v>
      </c>
      <c r="K243" s="32">
        <f t="shared" si="22"/>
        <v>-29.092500000000001</v>
      </c>
      <c r="L243" s="32">
        <v>0.17000000000000171</v>
      </c>
      <c r="M243" s="32">
        <v>-3.0000000000001137E-2</v>
      </c>
      <c r="N243" s="32">
        <v>1.0399999999999991</v>
      </c>
      <c r="O243" s="32">
        <v>0.57499999999999929</v>
      </c>
      <c r="P243" s="128">
        <f t="shared" si="24"/>
        <v>1.009999999999998</v>
      </c>
      <c r="Q243" s="128">
        <f t="shared" si="25"/>
        <v>-3.0000000000001137E-2</v>
      </c>
      <c r="R243" s="128">
        <f t="shared" si="26"/>
        <v>0.48999999999999844</v>
      </c>
      <c r="S243" s="115">
        <v>0</v>
      </c>
      <c r="T243" s="99">
        <v>0</v>
      </c>
      <c r="U243" s="99">
        <v>0</v>
      </c>
      <c r="V243" s="99">
        <v>0</v>
      </c>
      <c r="W243" s="99">
        <v>0</v>
      </c>
      <c r="X243" t="s">
        <v>16</v>
      </c>
      <c r="AC243"/>
      <c r="AD243"/>
    </row>
    <row r="244" spans="1:30" x14ac:dyDescent="0.3">
      <c r="A244" s="4">
        <v>646</v>
      </c>
      <c r="B244" s="8">
        <v>-29.99</v>
      </c>
      <c r="C244" s="8">
        <v>-29.27</v>
      </c>
      <c r="D244" s="8">
        <v>-28.7</v>
      </c>
      <c r="E244" s="8">
        <v>-28.27</v>
      </c>
      <c r="F244" s="20"/>
      <c r="G244" s="6"/>
      <c r="H244" s="6"/>
      <c r="I244" s="6"/>
      <c r="J244" s="4" t="s">
        <v>18</v>
      </c>
      <c r="K244" s="32">
        <f t="shared" si="22"/>
        <v>-29.057499999999997</v>
      </c>
      <c r="L244" s="32">
        <v>0.42999999999999972</v>
      </c>
      <c r="M244" s="32">
        <v>0.57000000000000028</v>
      </c>
      <c r="N244" s="32">
        <v>0.71999999999999886</v>
      </c>
      <c r="O244" s="32">
        <v>1.1449999999999996</v>
      </c>
      <c r="P244" s="128">
        <f t="shared" si="24"/>
        <v>1.2899999999999991</v>
      </c>
      <c r="Q244" s="128">
        <f t="shared" si="25"/>
        <v>0.57000000000000028</v>
      </c>
      <c r="R244" s="128">
        <f t="shared" si="26"/>
        <v>0.92999999999999972</v>
      </c>
      <c r="S244" s="115">
        <v>0</v>
      </c>
      <c r="T244" s="99">
        <v>0</v>
      </c>
      <c r="U244" s="99">
        <v>0</v>
      </c>
      <c r="V244" s="99">
        <v>0</v>
      </c>
      <c r="W244" s="99">
        <v>0</v>
      </c>
      <c r="X244" t="s">
        <v>16</v>
      </c>
      <c r="AC244"/>
      <c r="AD244"/>
    </row>
    <row r="245" spans="1:30" x14ac:dyDescent="0.3">
      <c r="A245" s="4">
        <v>647</v>
      </c>
      <c r="B245" s="8">
        <v>-29.64</v>
      </c>
      <c r="C245" s="8">
        <v>-29.1</v>
      </c>
      <c r="D245" s="8">
        <v>-28.53</v>
      </c>
      <c r="E245" s="8">
        <v>-27.64</v>
      </c>
      <c r="F245" s="20"/>
      <c r="G245" s="6"/>
      <c r="H245" s="6"/>
      <c r="I245" s="6"/>
      <c r="J245" s="4" t="s">
        <v>18</v>
      </c>
      <c r="K245" s="32">
        <f t="shared" si="22"/>
        <v>-28.727500000000003</v>
      </c>
      <c r="L245" s="32">
        <v>0.89000000000000057</v>
      </c>
      <c r="M245" s="32">
        <v>0.57000000000000028</v>
      </c>
      <c r="N245" s="32">
        <v>0.53999999999999915</v>
      </c>
      <c r="O245" s="32">
        <v>1.2850000000000001</v>
      </c>
      <c r="P245" s="128">
        <f t="shared" si="24"/>
        <v>1.1099999999999994</v>
      </c>
      <c r="Q245" s="128">
        <f t="shared" si="25"/>
        <v>0.57000000000000028</v>
      </c>
      <c r="R245" s="128">
        <f t="shared" si="26"/>
        <v>0.83999999999999986</v>
      </c>
      <c r="S245" s="115">
        <v>0</v>
      </c>
      <c r="T245" s="99">
        <v>0</v>
      </c>
      <c r="U245" s="99">
        <v>0</v>
      </c>
      <c r="V245" s="99">
        <v>0</v>
      </c>
      <c r="W245" s="99">
        <v>0</v>
      </c>
      <c r="X245" t="s">
        <v>16</v>
      </c>
      <c r="AC245"/>
      <c r="AD245"/>
    </row>
    <row r="246" spans="1:30" x14ac:dyDescent="0.3">
      <c r="A246" s="4">
        <v>648</v>
      </c>
      <c r="B246" s="8">
        <v>-30.51</v>
      </c>
      <c r="C246" s="8">
        <v>-29.77</v>
      </c>
      <c r="D246" s="8">
        <v>-29.52</v>
      </c>
      <c r="E246" s="8">
        <v>-28.88</v>
      </c>
      <c r="F246" s="20"/>
      <c r="G246" s="6"/>
      <c r="H246" s="6"/>
      <c r="I246" s="6"/>
      <c r="J246" s="4" t="s">
        <v>18</v>
      </c>
      <c r="K246" s="32">
        <f t="shared" si="22"/>
        <v>-29.669999999999998</v>
      </c>
      <c r="L246" s="32">
        <v>0.64000000000000057</v>
      </c>
      <c r="M246" s="32">
        <v>0.25</v>
      </c>
      <c r="N246" s="32">
        <v>0.74000000000000199</v>
      </c>
      <c r="O246" s="32">
        <v>0.94000000000000128</v>
      </c>
      <c r="P246" s="128">
        <f t="shared" si="24"/>
        <v>0.99000000000000199</v>
      </c>
      <c r="Q246" s="128">
        <f t="shared" si="25"/>
        <v>0.25</v>
      </c>
      <c r="R246" s="128">
        <f t="shared" si="26"/>
        <v>0.62000000000000099</v>
      </c>
      <c r="S246" s="115">
        <v>0</v>
      </c>
      <c r="T246" s="99">
        <v>0</v>
      </c>
      <c r="U246" s="99">
        <v>0</v>
      </c>
      <c r="V246" s="99">
        <v>0</v>
      </c>
      <c r="W246" s="99">
        <v>0</v>
      </c>
      <c r="X246" t="s">
        <v>16</v>
      </c>
      <c r="AC246"/>
      <c r="AD246"/>
    </row>
    <row r="247" spans="1:30" x14ac:dyDescent="0.3">
      <c r="A247" s="4">
        <v>649</v>
      </c>
      <c r="B247" s="8">
        <v>-31.17</v>
      </c>
      <c r="C247" s="8">
        <v>-30.33</v>
      </c>
      <c r="D247" s="8">
        <v>-29.78</v>
      </c>
      <c r="E247" s="8">
        <v>-29.22</v>
      </c>
      <c r="F247" s="20"/>
      <c r="G247" s="6"/>
      <c r="H247" s="6"/>
      <c r="I247" s="6"/>
      <c r="J247" s="4" t="s">
        <v>18</v>
      </c>
      <c r="K247" s="32">
        <f t="shared" si="22"/>
        <v>-30.125</v>
      </c>
      <c r="L247" s="32">
        <v>0.56000000000000227</v>
      </c>
      <c r="M247" s="32">
        <v>0.54999999999999716</v>
      </c>
      <c r="N247" s="32">
        <v>0.84000000000000341</v>
      </c>
      <c r="O247" s="32">
        <v>1.25</v>
      </c>
      <c r="P247" s="128">
        <f t="shared" si="24"/>
        <v>1.3900000000000006</v>
      </c>
      <c r="Q247" s="128">
        <f t="shared" si="25"/>
        <v>0.54999999999999716</v>
      </c>
      <c r="R247" s="128">
        <f t="shared" si="26"/>
        <v>0.96999999999999886</v>
      </c>
      <c r="S247" s="115">
        <v>0</v>
      </c>
      <c r="T247" s="99">
        <v>0</v>
      </c>
      <c r="U247" s="99">
        <v>0</v>
      </c>
      <c r="V247" s="99">
        <v>0</v>
      </c>
      <c r="W247" s="99">
        <v>0</v>
      </c>
      <c r="X247" t="s">
        <v>16</v>
      </c>
      <c r="AC247"/>
      <c r="AD247"/>
    </row>
    <row r="248" spans="1:30" x14ac:dyDescent="0.3">
      <c r="A248" s="4">
        <v>650</v>
      </c>
      <c r="B248" s="8">
        <v>-29.81</v>
      </c>
      <c r="C248" s="8">
        <v>-28.66</v>
      </c>
      <c r="D248" s="8">
        <v>-29.18</v>
      </c>
      <c r="E248" s="8">
        <v>-25.89</v>
      </c>
      <c r="F248" s="20"/>
      <c r="G248" s="6"/>
      <c r="H248" s="6"/>
      <c r="I248" s="6"/>
      <c r="J248" s="4" t="s">
        <v>11</v>
      </c>
      <c r="K248" s="32">
        <f t="shared" si="22"/>
        <v>-28.385000000000002</v>
      </c>
      <c r="L248" s="32">
        <v>3.2899999999999991</v>
      </c>
      <c r="M248" s="32">
        <v>-0.51999999999999957</v>
      </c>
      <c r="N248" s="32">
        <v>1.1499999999999986</v>
      </c>
      <c r="O248" s="32">
        <v>1.6999999999999993</v>
      </c>
      <c r="P248" s="128">
        <f t="shared" si="24"/>
        <v>0.62999999999999901</v>
      </c>
      <c r="Q248" s="128">
        <f t="shared" si="25"/>
        <v>-0.51999999999999957</v>
      </c>
      <c r="R248" s="128">
        <f t="shared" si="26"/>
        <v>5.4999999999999716E-2</v>
      </c>
      <c r="S248" s="115">
        <v>1</v>
      </c>
      <c r="T248" s="99">
        <v>0</v>
      </c>
      <c r="U248" s="99">
        <v>0</v>
      </c>
      <c r="V248" s="99">
        <v>0</v>
      </c>
      <c r="W248" s="99">
        <v>0</v>
      </c>
      <c r="X248" t="s">
        <v>16</v>
      </c>
      <c r="AC248"/>
      <c r="AD248"/>
    </row>
    <row r="249" spans="1:30" x14ac:dyDescent="0.3">
      <c r="A249" s="4">
        <v>651</v>
      </c>
      <c r="B249" s="8">
        <v>-30.39</v>
      </c>
      <c r="C249" s="8">
        <v>-30.38</v>
      </c>
      <c r="D249" s="8">
        <v>-29.09</v>
      </c>
      <c r="E249" s="8">
        <v>-27.72</v>
      </c>
      <c r="F249" s="20"/>
      <c r="G249" s="6"/>
      <c r="H249" s="6"/>
      <c r="I249" s="6"/>
      <c r="J249" s="4" t="s">
        <v>18</v>
      </c>
      <c r="K249" s="32">
        <f t="shared" si="22"/>
        <v>-29.395</v>
      </c>
      <c r="L249" s="32">
        <v>1.370000000000001</v>
      </c>
      <c r="M249" s="32">
        <v>1.2899999999999991</v>
      </c>
      <c r="N249" s="32">
        <v>1.0000000000001563E-2</v>
      </c>
      <c r="O249" s="32">
        <v>1.9799999999999969</v>
      </c>
      <c r="P249" s="128">
        <f t="shared" si="24"/>
        <v>1.3000000000000007</v>
      </c>
      <c r="Q249" s="128">
        <f t="shared" si="25"/>
        <v>1.2899999999999991</v>
      </c>
      <c r="R249" s="128">
        <f t="shared" si="26"/>
        <v>1.2949999999999982</v>
      </c>
      <c r="S249" s="115">
        <v>0</v>
      </c>
      <c r="T249" s="99">
        <v>0</v>
      </c>
      <c r="U249" s="99">
        <v>0</v>
      </c>
      <c r="V249" s="99">
        <v>0</v>
      </c>
      <c r="W249" s="99">
        <v>1</v>
      </c>
      <c r="X249" t="s">
        <v>16</v>
      </c>
      <c r="AC249"/>
      <c r="AD249"/>
    </row>
    <row r="250" spans="1:30" x14ac:dyDescent="0.3">
      <c r="A250" s="4">
        <v>652</v>
      </c>
      <c r="B250" s="8">
        <v>-30.2</v>
      </c>
      <c r="C250" s="8">
        <v>-30.33</v>
      </c>
      <c r="D250" s="8">
        <v>-28.57</v>
      </c>
      <c r="E250" s="8">
        <v>-27.7</v>
      </c>
      <c r="F250" s="20"/>
      <c r="G250" s="6"/>
      <c r="H250" s="6"/>
      <c r="I250" s="6"/>
      <c r="J250" s="4" t="s">
        <v>18</v>
      </c>
      <c r="K250" s="32">
        <f t="shared" si="22"/>
        <v>-29.2</v>
      </c>
      <c r="L250" s="32">
        <v>0.87000000000000099</v>
      </c>
      <c r="M250" s="32">
        <v>1.759999999999998</v>
      </c>
      <c r="N250" s="32">
        <v>-0.12999999999999901</v>
      </c>
      <c r="O250" s="32">
        <v>2.1300000000000026</v>
      </c>
      <c r="P250" s="128">
        <f t="shared" si="24"/>
        <v>1.759999999999998</v>
      </c>
      <c r="Q250" s="128">
        <f t="shared" si="25"/>
        <v>1.629999999999999</v>
      </c>
      <c r="R250" s="128">
        <f t="shared" si="26"/>
        <v>1.6950000000000003</v>
      </c>
      <c r="S250" s="115">
        <v>0</v>
      </c>
      <c r="T250" s="99">
        <v>0</v>
      </c>
      <c r="U250" s="99">
        <v>0</v>
      </c>
      <c r="V250" s="99">
        <v>0</v>
      </c>
      <c r="W250" s="99">
        <v>1</v>
      </c>
      <c r="X250" t="s">
        <v>16</v>
      </c>
      <c r="AC250"/>
      <c r="AD250"/>
    </row>
    <row r="251" spans="1:30" x14ac:dyDescent="0.3">
      <c r="A251" s="4">
        <v>653</v>
      </c>
      <c r="B251" s="8">
        <v>-30.38</v>
      </c>
      <c r="C251" s="8">
        <v>-30.47</v>
      </c>
      <c r="D251" s="8">
        <v>-29.24</v>
      </c>
      <c r="E251" s="8">
        <v>-28.31</v>
      </c>
      <c r="F251" s="20"/>
      <c r="G251" s="6"/>
      <c r="H251" s="6"/>
      <c r="I251" s="6"/>
      <c r="J251" s="4" t="s">
        <v>18</v>
      </c>
      <c r="K251" s="32">
        <f t="shared" si="22"/>
        <v>-29.599999999999998</v>
      </c>
      <c r="L251" s="32">
        <v>0.92999999999999972</v>
      </c>
      <c r="M251" s="32">
        <v>1.2300000000000004</v>
      </c>
      <c r="N251" s="32">
        <v>-8.9999999999999858E-2</v>
      </c>
      <c r="O251" s="32">
        <v>1.6499999999999986</v>
      </c>
      <c r="P251" s="128">
        <f t="shared" si="24"/>
        <v>1.2300000000000004</v>
      </c>
      <c r="Q251" s="128">
        <f t="shared" si="25"/>
        <v>1.1400000000000006</v>
      </c>
      <c r="R251" s="128">
        <f t="shared" si="26"/>
        <v>1.1849999999999987</v>
      </c>
      <c r="S251" s="115">
        <v>0</v>
      </c>
      <c r="T251" s="99">
        <v>0</v>
      </c>
      <c r="U251" s="99">
        <v>0</v>
      </c>
      <c r="V251" s="99">
        <v>0</v>
      </c>
      <c r="W251" s="99">
        <v>1</v>
      </c>
      <c r="X251" t="s">
        <v>16</v>
      </c>
      <c r="AC251"/>
      <c r="AD251"/>
    </row>
    <row r="252" spans="1:30" s="47" customFormat="1" x14ac:dyDescent="0.3">
      <c r="A252" s="40">
        <v>654</v>
      </c>
      <c r="B252" s="62"/>
      <c r="C252" s="62"/>
      <c r="D252" s="43">
        <f t="shared" ref="D252:D264" si="28">IF(AND(ISBLANK(F252),ISBLANK(G252)),"",IF(ISBLANK(F252),G252,IF(ISBLANK(G252),F252,(G252+F252)/2)))</f>
        <v>-27.987522859166248</v>
      </c>
      <c r="E252" s="62"/>
      <c r="F252" s="45">
        <v>-28.294539021360201</v>
      </c>
      <c r="G252" s="45">
        <v>-27.680506696972294</v>
      </c>
      <c r="H252" s="43"/>
      <c r="I252" s="43"/>
      <c r="J252" s="4" t="s">
        <v>11</v>
      </c>
      <c r="K252" s="46">
        <f t="shared" si="22"/>
        <v>-27.987522859166248</v>
      </c>
      <c r="L252" s="32">
        <v>27.987522859166248</v>
      </c>
      <c r="M252" s="32">
        <v>-27.987522859166248</v>
      </c>
      <c r="N252" s="32">
        <v>0</v>
      </c>
      <c r="O252" s="32" t="e">
        <v>#DIV/0!</v>
      </c>
      <c r="P252" s="128" t="str">
        <f t="shared" si="24"/>
        <v/>
      </c>
      <c r="Q252" s="128" t="str">
        <f t="shared" si="25"/>
        <v/>
      </c>
      <c r="R252" s="128" t="str">
        <f t="shared" si="26"/>
        <v/>
      </c>
      <c r="S252" s="118"/>
      <c r="T252" s="104"/>
      <c r="U252" s="104"/>
      <c r="V252" s="104"/>
      <c r="W252" s="104"/>
      <c r="Y252"/>
    </row>
    <row r="253" spans="1:30" s="47" customFormat="1" x14ac:dyDescent="0.3">
      <c r="A253" s="40">
        <v>655</v>
      </c>
      <c r="B253" s="62"/>
      <c r="C253" s="62"/>
      <c r="D253" s="43">
        <f t="shared" si="28"/>
        <v>-28.040469069263576</v>
      </c>
      <c r="E253" s="62"/>
      <c r="F253" s="45">
        <v>-28.178671970809926</v>
      </c>
      <c r="G253" s="45">
        <v>-27.902266167717226</v>
      </c>
      <c r="H253" s="43"/>
      <c r="I253" s="43"/>
      <c r="J253" s="4" t="s">
        <v>11</v>
      </c>
      <c r="K253" s="46">
        <f t="shared" si="22"/>
        <v>-28.040469069263576</v>
      </c>
      <c r="L253" s="32">
        <v>28.040469069263576</v>
      </c>
      <c r="M253" s="32">
        <v>-28.040469069263576</v>
      </c>
      <c r="N253" s="32">
        <v>0</v>
      </c>
      <c r="O253" s="32" t="e">
        <v>#DIV/0!</v>
      </c>
      <c r="P253" s="128" t="str">
        <f t="shared" si="24"/>
        <v/>
      </c>
      <c r="Q253" s="128" t="str">
        <f t="shared" si="25"/>
        <v/>
      </c>
      <c r="R253" s="128" t="str">
        <f t="shared" si="26"/>
        <v/>
      </c>
      <c r="S253" s="118"/>
      <c r="T253" s="104"/>
      <c r="U253" s="104"/>
      <c r="V253" s="104"/>
      <c r="W253" s="104"/>
      <c r="Y253"/>
    </row>
    <row r="254" spans="1:30" s="47" customFormat="1" x14ac:dyDescent="0.3">
      <c r="A254" s="40">
        <v>656</v>
      </c>
      <c r="B254" s="62"/>
      <c r="C254" s="62"/>
      <c r="D254" s="43">
        <f t="shared" si="28"/>
        <v>-28.03043293938385</v>
      </c>
      <c r="E254" s="62"/>
      <c r="F254" s="45">
        <v>-28.128085693260026</v>
      </c>
      <c r="G254" s="45">
        <v>-27.932780185507678</v>
      </c>
      <c r="H254" s="43"/>
      <c r="I254" s="43"/>
      <c r="J254" s="4" t="s">
        <v>11</v>
      </c>
      <c r="K254" s="46">
        <f t="shared" si="22"/>
        <v>-28.030432939383854</v>
      </c>
      <c r="L254" s="32">
        <v>28.03043293938385</v>
      </c>
      <c r="M254" s="32">
        <v>-28.03043293938385</v>
      </c>
      <c r="N254" s="32">
        <v>0</v>
      </c>
      <c r="O254" s="32" t="e">
        <v>#DIV/0!</v>
      </c>
      <c r="P254" s="128" t="str">
        <f t="shared" si="24"/>
        <v/>
      </c>
      <c r="Q254" s="128" t="str">
        <f t="shared" si="25"/>
        <v/>
      </c>
      <c r="R254" s="128" t="str">
        <f t="shared" si="26"/>
        <v/>
      </c>
      <c r="S254" s="118"/>
      <c r="T254" s="104"/>
      <c r="U254" s="104"/>
      <c r="V254" s="104"/>
      <c r="W254" s="104"/>
      <c r="Y254"/>
    </row>
    <row r="255" spans="1:30" s="47" customFormat="1" x14ac:dyDescent="0.3">
      <c r="A255" s="40">
        <v>657</v>
      </c>
      <c r="B255" s="62"/>
      <c r="C255" s="62"/>
      <c r="D255" s="43">
        <f t="shared" si="28"/>
        <v>-28.102373479749957</v>
      </c>
      <c r="E255" s="62"/>
      <c r="F255" s="45">
        <v>-28.417560148582695</v>
      </c>
      <c r="G255" s="45">
        <v>-27.787186810917216</v>
      </c>
      <c r="H255" s="43"/>
      <c r="I255" s="43"/>
      <c r="J255" s="4" t="s">
        <v>11</v>
      </c>
      <c r="K255" s="46">
        <f t="shared" si="22"/>
        <v>-28.102373479749957</v>
      </c>
      <c r="L255" s="32">
        <v>28.102373479749957</v>
      </c>
      <c r="M255" s="32">
        <v>-28.102373479749957</v>
      </c>
      <c r="N255" s="32">
        <v>0</v>
      </c>
      <c r="O255" s="32" t="e">
        <v>#DIV/0!</v>
      </c>
      <c r="P255" s="128" t="str">
        <f t="shared" si="24"/>
        <v/>
      </c>
      <c r="Q255" s="128" t="str">
        <f t="shared" si="25"/>
        <v/>
      </c>
      <c r="R255" s="128" t="str">
        <f t="shared" si="26"/>
        <v/>
      </c>
      <c r="S255" s="118"/>
      <c r="T255" s="104"/>
      <c r="U255" s="104"/>
      <c r="V255" s="104"/>
      <c r="W255" s="104"/>
      <c r="Y255"/>
    </row>
    <row r="256" spans="1:30" s="47" customFormat="1" x14ac:dyDescent="0.3">
      <c r="A256" s="40">
        <v>658</v>
      </c>
      <c r="B256" s="62"/>
      <c r="C256" s="62"/>
      <c r="D256" s="43">
        <f t="shared" si="28"/>
        <v>-27.98250601228829</v>
      </c>
      <c r="E256" s="62"/>
      <c r="F256" s="45">
        <v>-28.160417637592019</v>
      </c>
      <c r="G256" s="45">
        <v>-27.804594386984565</v>
      </c>
      <c r="H256" s="43"/>
      <c r="I256" s="43"/>
      <c r="J256" s="4" t="s">
        <v>11</v>
      </c>
      <c r="K256" s="46">
        <f t="shared" si="22"/>
        <v>-27.982506012288294</v>
      </c>
      <c r="L256" s="32">
        <v>27.98250601228829</v>
      </c>
      <c r="M256" s="32">
        <v>-27.98250601228829</v>
      </c>
      <c r="N256" s="32">
        <v>0</v>
      </c>
      <c r="O256" s="32" t="e">
        <v>#DIV/0!</v>
      </c>
      <c r="P256" s="128" t="str">
        <f t="shared" si="24"/>
        <v/>
      </c>
      <c r="Q256" s="128" t="str">
        <f t="shared" si="25"/>
        <v/>
      </c>
      <c r="R256" s="128" t="str">
        <f t="shared" si="26"/>
        <v/>
      </c>
      <c r="S256" s="118"/>
      <c r="T256" s="104"/>
      <c r="U256" s="104"/>
      <c r="V256" s="104"/>
      <c r="W256" s="104"/>
      <c r="Y256"/>
    </row>
    <row r="257" spans="1:30" s="47" customFormat="1" x14ac:dyDescent="0.3">
      <c r="A257" s="40">
        <v>659</v>
      </c>
      <c r="B257" s="62"/>
      <c r="C257" s="62"/>
      <c r="D257" s="43">
        <f t="shared" si="28"/>
        <v>-27.803731225788074</v>
      </c>
      <c r="E257" s="45">
        <v>-28.189835047448703</v>
      </c>
      <c r="F257" s="45">
        <v>-28.011180600387526</v>
      </c>
      <c r="G257" s="45">
        <v>-27.596281851188621</v>
      </c>
      <c r="H257" s="43"/>
      <c r="I257" s="43"/>
      <c r="J257" s="4" t="s">
        <v>11</v>
      </c>
      <c r="K257" s="46">
        <f t="shared" si="22"/>
        <v>-27.90025718120323</v>
      </c>
      <c r="L257" s="32">
        <v>-0.38610382166062962</v>
      </c>
      <c r="M257" s="32">
        <v>-27.803731225788074</v>
      </c>
      <c r="N257" s="32">
        <v>0</v>
      </c>
      <c r="O257" s="32" t="e">
        <v>#DIV/0!</v>
      </c>
      <c r="P257" s="128" t="str">
        <f t="shared" si="24"/>
        <v/>
      </c>
      <c r="Q257" s="128" t="str">
        <f t="shared" si="25"/>
        <v/>
      </c>
      <c r="R257" s="128" t="str">
        <f t="shared" si="26"/>
        <v/>
      </c>
      <c r="S257" s="118"/>
      <c r="T257" s="104"/>
      <c r="U257" s="104"/>
      <c r="V257" s="104"/>
      <c r="W257" s="104"/>
      <c r="Y257"/>
    </row>
    <row r="258" spans="1:30" s="47" customFormat="1" x14ac:dyDescent="0.3">
      <c r="A258" s="40">
        <v>660</v>
      </c>
      <c r="B258" s="62"/>
      <c r="C258" s="62"/>
      <c r="D258" s="43">
        <f t="shared" si="28"/>
        <v>-28.483299674562296</v>
      </c>
      <c r="E258" s="45">
        <v>-28.108270979281563</v>
      </c>
      <c r="F258" s="45">
        <v>-27.821677467707119</v>
      </c>
      <c r="G258" s="45">
        <v>-29.144921881417474</v>
      </c>
      <c r="H258" s="43"/>
      <c r="I258" s="43"/>
      <c r="J258" s="4" t="s">
        <v>11</v>
      </c>
      <c r="K258" s="46">
        <f t="shared" ref="K258:K321" si="29">AVERAGE(B258:G258)</f>
        <v>-28.389542500742113</v>
      </c>
      <c r="L258" s="32">
        <v>0.3750286952807329</v>
      </c>
      <c r="M258" s="32">
        <v>-28.483299674562296</v>
      </c>
      <c r="N258" s="32">
        <v>0</v>
      </c>
      <c r="O258" s="32" t="e">
        <v>#DIV/0!</v>
      </c>
      <c r="P258" s="128" t="str">
        <f t="shared" si="24"/>
        <v/>
      </c>
      <c r="Q258" s="128" t="str">
        <f t="shared" si="25"/>
        <v/>
      </c>
      <c r="R258" s="128" t="str">
        <f t="shared" si="26"/>
        <v/>
      </c>
      <c r="S258" s="118"/>
      <c r="T258" s="104"/>
      <c r="U258" s="104"/>
      <c r="V258" s="104"/>
      <c r="W258" s="104"/>
      <c r="Y258"/>
    </row>
    <row r="259" spans="1:30" s="47" customFormat="1" x14ac:dyDescent="0.3">
      <c r="A259" s="40">
        <v>661</v>
      </c>
      <c r="B259" s="66">
        <v>-30.348587086730348</v>
      </c>
      <c r="C259" s="63">
        <v>-29.323362650152383</v>
      </c>
      <c r="D259" s="43">
        <f t="shared" si="28"/>
        <v>-30.011116530833828</v>
      </c>
      <c r="E259" s="62"/>
      <c r="F259" s="63">
        <v>-30.198511662696401</v>
      </c>
      <c r="G259" s="63">
        <v>-29.823721398971255</v>
      </c>
      <c r="H259" s="43"/>
      <c r="I259" s="43"/>
      <c r="J259" s="83" t="s">
        <v>18</v>
      </c>
      <c r="K259" s="46">
        <f t="shared" si="29"/>
        <v>-29.941059865876845</v>
      </c>
      <c r="L259" s="32">
        <v>30.011116530833828</v>
      </c>
      <c r="M259" s="32">
        <v>-0.68775388068144494</v>
      </c>
      <c r="N259" s="32">
        <v>1.0252244365779646</v>
      </c>
      <c r="O259" s="32">
        <v>-0.17514166239246265</v>
      </c>
      <c r="P259" s="128" t="str">
        <f t="shared" ref="P259:P322" si="30">IF(OR(E259="", D259="", B259="", C259=""), "", MIN(E259,D259)-MIN(B259,C259))</f>
        <v/>
      </c>
      <c r="Q259" s="128" t="str">
        <f t="shared" ref="Q259:Q322" si="31">IF(OR(E259="", D259="", B259="", C259=""), "", MIN(E259,D259)-MAX(B259,C259))</f>
        <v/>
      </c>
      <c r="R259" s="128" t="str">
        <f t="shared" ref="R259:R322" si="32">IF(OR(E259="", D259="", B259="", C259=""), "", MIN(E259,D259)-AVERAGE(B259,C259))</f>
        <v/>
      </c>
      <c r="S259" s="118"/>
      <c r="T259" s="104">
        <v>0</v>
      </c>
      <c r="U259" s="104">
        <v>0</v>
      </c>
      <c r="V259" s="104">
        <v>0</v>
      </c>
      <c r="W259" s="104"/>
      <c r="Y259"/>
    </row>
    <row r="260" spans="1:30" s="47" customFormat="1" x14ac:dyDescent="0.3">
      <c r="A260" s="40">
        <v>662</v>
      </c>
      <c r="B260" s="66">
        <v>-30.381313737242124</v>
      </c>
      <c r="C260" s="63">
        <v>-29.669182965172332</v>
      </c>
      <c r="D260" s="43">
        <f t="shared" si="28"/>
        <v>-30.137318249920138</v>
      </c>
      <c r="E260" s="62"/>
      <c r="F260" s="63">
        <v>-30.110721709934445</v>
      </c>
      <c r="G260" s="63">
        <v>-30.163914789905832</v>
      </c>
      <c r="H260" s="43"/>
      <c r="I260" s="43"/>
      <c r="J260" s="83" t="s">
        <v>18</v>
      </c>
      <c r="K260" s="46">
        <f t="shared" si="29"/>
        <v>-30.092490290434977</v>
      </c>
      <c r="L260" s="32">
        <v>30.137318249920138</v>
      </c>
      <c r="M260" s="32">
        <v>-0.46813528474780597</v>
      </c>
      <c r="N260" s="32">
        <v>0.71213077206979136</v>
      </c>
      <c r="O260" s="32">
        <v>-0.11206989871291029</v>
      </c>
      <c r="P260" s="128" t="str">
        <f t="shared" si="30"/>
        <v/>
      </c>
      <c r="Q260" s="128" t="str">
        <f t="shared" si="31"/>
        <v/>
      </c>
      <c r="R260" s="128" t="str">
        <f t="shared" si="32"/>
        <v/>
      </c>
      <c r="S260" s="118"/>
      <c r="T260" s="104">
        <v>0</v>
      </c>
      <c r="U260" s="104">
        <v>0</v>
      </c>
      <c r="V260" s="104">
        <v>0</v>
      </c>
      <c r="W260" s="104"/>
      <c r="Y260"/>
    </row>
    <row r="261" spans="1:30" x14ac:dyDescent="0.3">
      <c r="A261" s="4">
        <v>663</v>
      </c>
      <c r="B261" s="22">
        <v>-30.141224659755856</v>
      </c>
      <c r="C261" s="18">
        <v>-28.921366924672977</v>
      </c>
      <c r="D261" s="6">
        <f t="shared" si="28"/>
        <v>-29.035137651814477</v>
      </c>
      <c r="E261" s="18">
        <v>-29.880236706667667</v>
      </c>
      <c r="F261" s="18">
        <v>-28.847607767108016</v>
      </c>
      <c r="G261" s="18">
        <v>-29.222667536520937</v>
      </c>
      <c r="H261" s="6"/>
      <c r="I261" s="6"/>
      <c r="J261" s="4" t="s">
        <v>18</v>
      </c>
      <c r="K261" s="32">
        <f t="shared" si="29"/>
        <v>-29.34137354108999</v>
      </c>
      <c r="L261" s="32">
        <v>-0.84509905485318981</v>
      </c>
      <c r="M261" s="32">
        <v>-0.11377072714149961</v>
      </c>
      <c r="N261" s="32">
        <v>1.2198577350828792</v>
      </c>
      <c r="O261" s="32">
        <v>7.3608612973345089E-2</v>
      </c>
      <c r="P261" s="128">
        <f t="shared" si="30"/>
        <v>0.26098795308818978</v>
      </c>
      <c r="Q261" s="128">
        <f t="shared" si="31"/>
        <v>-0.95886978199468942</v>
      </c>
      <c r="R261" s="128">
        <f t="shared" si="32"/>
        <v>-0.34894091445325159</v>
      </c>
      <c r="S261" s="115">
        <v>0</v>
      </c>
      <c r="T261" s="99">
        <v>0</v>
      </c>
      <c r="U261" s="99">
        <v>0</v>
      </c>
      <c r="V261" s="99">
        <v>0</v>
      </c>
      <c r="W261" s="99">
        <v>0</v>
      </c>
      <c r="X261" t="s">
        <v>16</v>
      </c>
      <c r="AC261"/>
      <c r="AD261"/>
    </row>
    <row r="262" spans="1:30" x14ac:dyDescent="0.3">
      <c r="A262" s="4">
        <v>664</v>
      </c>
      <c r="B262" s="22">
        <v>-28.676711795130288</v>
      </c>
      <c r="C262" s="18">
        <v>-29.819475457940708</v>
      </c>
      <c r="D262" s="6">
        <f t="shared" si="28"/>
        <v>-29.138425537285016</v>
      </c>
      <c r="E262" s="18">
        <v>-29.857826102267936</v>
      </c>
      <c r="F262" s="18">
        <v>-29.024166639785893</v>
      </c>
      <c r="G262" s="18">
        <v>-29.252684434784136</v>
      </c>
      <c r="H262" s="6"/>
      <c r="I262" s="6"/>
      <c r="J262" s="4" t="s">
        <v>18</v>
      </c>
      <c r="K262" s="32">
        <f t="shared" si="29"/>
        <v>-29.294881661198996</v>
      </c>
      <c r="L262" s="32">
        <v>-0.71940056498291938</v>
      </c>
      <c r="M262" s="32">
        <v>0.68104992065569192</v>
      </c>
      <c r="N262" s="32">
        <v>-1.1427636628104203</v>
      </c>
      <c r="O262" s="32">
        <v>-0.25003219324097614</v>
      </c>
      <c r="P262" s="128">
        <f t="shared" si="30"/>
        <v>-3.8350644327227457E-2</v>
      </c>
      <c r="Q262" s="128">
        <f t="shared" si="31"/>
        <v>-1.1811143071376478</v>
      </c>
      <c r="R262" s="128">
        <f t="shared" si="32"/>
        <v>-0.60973247573243583</v>
      </c>
      <c r="S262" s="115">
        <v>0</v>
      </c>
      <c r="T262" s="99">
        <v>1</v>
      </c>
      <c r="U262" s="99">
        <v>1</v>
      </c>
      <c r="V262" s="99">
        <v>1</v>
      </c>
      <c r="W262" s="99">
        <v>0</v>
      </c>
      <c r="X262" t="s">
        <v>16</v>
      </c>
      <c r="AC262"/>
      <c r="AD262"/>
    </row>
    <row r="263" spans="1:30" x14ac:dyDescent="0.3">
      <c r="A263" s="4">
        <v>665</v>
      </c>
      <c r="B263" s="22">
        <v>-29.278935133649362</v>
      </c>
      <c r="C263" s="18">
        <v>-28.901593187918188</v>
      </c>
      <c r="D263" s="6">
        <f t="shared" si="28"/>
        <v>-30.107128005365638</v>
      </c>
      <c r="E263" s="18">
        <v>-29.965416058977208</v>
      </c>
      <c r="F263" s="18">
        <v>-29.697559775133065</v>
      </c>
      <c r="G263" s="18">
        <v>-30.516696235598211</v>
      </c>
      <c r="H263" s="6"/>
      <c r="I263" s="6"/>
      <c r="J263" s="4" t="s">
        <v>18</v>
      </c>
      <c r="K263" s="32">
        <f t="shared" si="29"/>
        <v>-29.744554732773612</v>
      </c>
      <c r="L263" s="32">
        <v>0.14171194638842977</v>
      </c>
      <c r="M263" s="32">
        <v>-1.2055348174474503</v>
      </c>
      <c r="N263" s="32">
        <v>0.37734194573117463</v>
      </c>
      <c r="O263" s="32">
        <v>-0.94600787138764986</v>
      </c>
      <c r="P263" s="128">
        <f t="shared" si="30"/>
        <v>-0.82819287171627565</v>
      </c>
      <c r="Q263" s="128">
        <f t="shared" si="31"/>
        <v>-1.2055348174474503</v>
      </c>
      <c r="R263" s="128">
        <f t="shared" si="32"/>
        <v>-1.016863844581863</v>
      </c>
      <c r="S263" s="115">
        <v>1</v>
      </c>
      <c r="T263" s="99">
        <v>0</v>
      </c>
      <c r="U263" s="99">
        <v>0</v>
      </c>
      <c r="V263" s="99">
        <v>0</v>
      </c>
      <c r="W263" s="99">
        <v>0</v>
      </c>
      <c r="X263" t="s">
        <v>16</v>
      </c>
      <c r="AC263"/>
      <c r="AD263"/>
    </row>
    <row r="264" spans="1:30" x14ac:dyDescent="0.3">
      <c r="A264" s="4">
        <v>666</v>
      </c>
      <c r="B264" s="22">
        <v>-32.056260873694882</v>
      </c>
      <c r="C264" s="18">
        <v>-31.626133816460452</v>
      </c>
      <c r="D264" s="6">
        <f t="shared" si="28"/>
        <v>-31.114370194931666</v>
      </c>
      <c r="E264" s="18">
        <v>-30.525942136646378</v>
      </c>
      <c r="F264" s="18">
        <v>-31.494681502783976</v>
      </c>
      <c r="G264" s="18">
        <v>-30.734058887079357</v>
      </c>
      <c r="H264" s="6"/>
      <c r="I264" s="6"/>
      <c r="J264" s="4" t="s">
        <v>18</v>
      </c>
      <c r="K264" s="32">
        <f t="shared" si="29"/>
        <v>-31.258574568599453</v>
      </c>
      <c r="L264" s="32">
        <v>0.5884280582852881</v>
      </c>
      <c r="M264" s="32">
        <v>0.51176362152878596</v>
      </c>
      <c r="N264" s="32">
        <v>0.43012705723442934</v>
      </c>
      <c r="O264" s="32">
        <v>1.0210411792886447</v>
      </c>
      <c r="P264" s="128">
        <f t="shared" si="30"/>
        <v>0.94189067876321531</v>
      </c>
      <c r="Q264" s="128">
        <f t="shared" si="31"/>
        <v>0.51176362152878596</v>
      </c>
      <c r="R264" s="128">
        <f t="shared" si="32"/>
        <v>0.72682715014600063</v>
      </c>
      <c r="S264" s="115">
        <v>0</v>
      </c>
      <c r="T264" s="99">
        <v>0</v>
      </c>
      <c r="U264" s="99">
        <v>0</v>
      </c>
      <c r="V264" s="99">
        <v>0</v>
      </c>
      <c r="W264" s="99">
        <v>0</v>
      </c>
      <c r="X264" t="s">
        <v>16</v>
      </c>
      <c r="AC264"/>
      <c r="AD264"/>
    </row>
    <row r="265" spans="1:30" s="47" customFormat="1" x14ac:dyDescent="0.3">
      <c r="A265" s="40">
        <v>810</v>
      </c>
      <c r="B265" s="63">
        <v>-31.263804378430908</v>
      </c>
      <c r="C265" s="63">
        <v>-30.167133861748511</v>
      </c>
      <c r="D265" s="63">
        <v>-30.315849921735911</v>
      </c>
      <c r="E265" s="45"/>
      <c r="F265" s="45"/>
      <c r="G265" s="45"/>
      <c r="H265" s="63">
        <v>-30.509405120532083</v>
      </c>
      <c r="I265" s="43"/>
      <c r="J265" s="4" t="s">
        <v>18</v>
      </c>
      <c r="K265" s="46">
        <f t="shared" si="29"/>
        <v>-30.582262720638443</v>
      </c>
      <c r="L265" s="32">
        <v>30.315849921735911</v>
      </c>
      <c r="M265" s="32">
        <v>-0.14871605998740023</v>
      </c>
      <c r="N265" s="32">
        <v>1.0966705166823978</v>
      </c>
      <c r="O265" s="32">
        <v>0.39961919835379689</v>
      </c>
      <c r="P265" s="128" t="str">
        <f t="shared" si="30"/>
        <v/>
      </c>
      <c r="Q265" s="128" t="str">
        <f t="shared" si="31"/>
        <v/>
      </c>
      <c r="R265" s="128" t="str">
        <f t="shared" si="32"/>
        <v/>
      </c>
      <c r="S265" s="118"/>
      <c r="T265" s="104">
        <v>0</v>
      </c>
      <c r="U265" s="104">
        <v>0</v>
      </c>
      <c r="V265" s="104">
        <v>0</v>
      </c>
      <c r="W265" s="104"/>
      <c r="Y265"/>
    </row>
    <row r="266" spans="1:30" s="47" customFormat="1" x14ac:dyDescent="0.3">
      <c r="A266" s="40">
        <v>811</v>
      </c>
      <c r="B266" s="63">
        <v>-32.329528557938005</v>
      </c>
      <c r="C266" s="63">
        <v>-30.243427764718</v>
      </c>
      <c r="D266" s="63">
        <v>-30.912264384904514</v>
      </c>
      <c r="E266" s="45"/>
      <c r="F266" s="45"/>
      <c r="G266" s="45"/>
      <c r="H266" s="63">
        <v>-31.281056358522868</v>
      </c>
      <c r="I266" s="43"/>
      <c r="J266" s="4" t="s">
        <v>18</v>
      </c>
      <c r="K266" s="46">
        <f t="shared" si="29"/>
        <v>-31.161740235853504</v>
      </c>
      <c r="L266" s="32">
        <v>30.912264384904514</v>
      </c>
      <c r="M266" s="32">
        <v>-0.66883662018651435</v>
      </c>
      <c r="N266" s="32">
        <v>2.0861007932200053</v>
      </c>
      <c r="O266" s="32">
        <v>0.3742137764234883</v>
      </c>
      <c r="P266" s="128" t="str">
        <f t="shared" si="30"/>
        <v/>
      </c>
      <c r="Q266" s="128" t="str">
        <f t="shared" si="31"/>
        <v/>
      </c>
      <c r="R266" s="128" t="str">
        <f t="shared" si="32"/>
        <v/>
      </c>
      <c r="S266" s="118"/>
      <c r="T266" s="104">
        <v>0</v>
      </c>
      <c r="U266" s="104">
        <v>0</v>
      </c>
      <c r="V266" s="104">
        <v>0</v>
      </c>
      <c r="W266" s="104"/>
      <c r="Y266"/>
    </row>
    <row r="267" spans="1:30" s="47" customFormat="1" x14ac:dyDescent="0.3">
      <c r="A267" s="40">
        <v>812</v>
      </c>
      <c r="B267" s="63">
        <v>-31.879061188401096</v>
      </c>
      <c r="C267" s="63">
        <v>-31.580405737066158</v>
      </c>
      <c r="D267" s="63">
        <v>-31.223860633790366</v>
      </c>
      <c r="E267" s="45"/>
      <c r="F267" s="45"/>
      <c r="G267" s="45"/>
      <c r="H267" s="63">
        <v>-31.638808866399039</v>
      </c>
      <c r="I267" s="43"/>
      <c r="J267" s="4" t="s">
        <v>18</v>
      </c>
      <c r="K267" s="46">
        <f t="shared" si="29"/>
        <v>-31.561109186419205</v>
      </c>
      <c r="L267" s="32">
        <v>31.223860633790366</v>
      </c>
      <c r="M267" s="32">
        <v>0.35654510327579203</v>
      </c>
      <c r="N267" s="32">
        <v>0.29865545133493754</v>
      </c>
      <c r="O267" s="32">
        <v>0.5058728289432608</v>
      </c>
      <c r="P267" s="128" t="str">
        <f t="shared" si="30"/>
        <v/>
      </c>
      <c r="Q267" s="128" t="str">
        <f t="shared" si="31"/>
        <v/>
      </c>
      <c r="R267" s="128" t="str">
        <f t="shared" si="32"/>
        <v/>
      </c>
      <c r="S267" s="118"/>
      <c r="T267" s="104">
        <v>0</v>
      </c>
      <c r="U267" s="104">
        <v>0</v>
      </c>
      <c r="V267" s="104">
        <v>0</v>
      </c>
      <c r="W267" s="104"/>
      <c r="Y267"/>
    </row>
    <row r="268" spans="1:30" s="47" customFormat="1" x14ac:dyDescent="0.3">
      <c r="A268" s="40">
        <v>813</v>
      </c>
      <c r="B268" s="63">
        <v>-32.001591058997761</v>
      </c>
      <c r="C268" s="63">
        <v>-31.404873754810765</v>
      </c>
      <c r="D268" s="63">
        <v>-31.463049241328715</v>
      </c>
      <c r="E268" s="45"/>
      <c r="F268" s="45"/>
      <c r="G268" s="45"/>
      <c r="H268" s="63">
        <v>-30.931345748714797</v>
      </c>
      <c r="I268" s="43"/>
      <c r="J268" s="4" t="s">
        <v>18</v>
      </c>
      <c r="K268" s="46">
        <f t="shared" si="29"/>
        <v>-31.623171351712415</v>
      </c>
      <c r="L268" s="32">
        <v>31.463049241328715</v>
      </c>
      <c r="M268" s="32">
        <v>-5.8175486517949793E-2</v>
      </c>
      <c r="N268" s="32">
        <v>0.59671730418699553</v>
      </c>
      <c r="O268" s="32">
        <v>0.24018316557554797</v>
      </c>
      <c r="P268" s="128" t="str">
        <f t="shared" si="30"/>
        <v/>
      </c>
      <c r="Q268" s="128" t="str">
        <f t="shared" si="31"/>
        <v/>
      </c>
      <c r="R268" s="128" t="str">
        <f t="shared" si="32"/>
        <v/>
      </c>
      <c r="S268" s="118"/>
      <c r="T268" s="104">
        <v>0</v>
      </c>
      <c r="U268" s="104">
        <v>0</v>
      </c>
      <c r="V268" s="104">
        <v>0</v>
      </c>
      <c r="W268" s="104"/>
      <c r="Y268"/>
    </row>
    <row r="269" spans="1:30" s="47" customFormat="1" x14ac:dyDescent="0.3">
      <c r="A269" s="40">
        <v>814</v>
      </c>
      <c r="B269" s="63">
        <v>-31.565706687403242</v>
      </c>
      <c r="C269" s="63">
        <v>-31.244619224886865</v>
      </c>
      <c r="D269" s="63">
        <v>-31.068595189180144</v>
      </c>
      <c r="E269" s="45"/>
      <c r="F269" s="45"/>
      <c r="G269" s="45"/>
      <c r="H269" s="63">
        <v>-30.559966483104578</v>
      </c>
      <c r="I269" s="43"/>
      <c r="J269" s="4" t="s">
        <v>18</v>
      </c>
      <c r="K269" s="46">
        <f t="shared" si="29"/>
        <v>-31.292973700490084</v>
      </c>
      <c r="L269" s="32">
        <v>31.068595189180144</v>
      </c>
      <c r="M269" s="32">
        <v>0.17602403570672109</v>
      </c>
      <c r="N269" s="32">
        <v>0.32108746251637754</v>
      </c>
      <c r="O269" s="32">
        <v>0.33656776696491164</v>
      </c>
      <c r="P269" s="128" t="str">
        <f t="shared" si="30"/>
        <v/>
      </c>
      <c r="Q269" s="128" t="str">
        <f t="shared" si="31"/>
        <v/>
      </c>
      <c r="R269" s="128" t="str">
        <f t="shared" si="32"/>
        <v/>
      </c>
      <c r="S269" s="118"/>
      <c r="T269" s="104">
        <v>0</v>
      </c>
      <c r="U269" s="104">
        <v>0</v>
      </c>
      <c r="V269" s="104">
        <v>0</v>
      </c>
      <c r="W269" s="104"/>
      <c r="Y269"/>
    </row>
    <row r="270" spans="1:30" s="47" customFormat="1" x14ac:dyDescent="0.3">
      <c r="A270" s="40">
        <v>815</v>
      </c>
      <c r="B270" s="63">
        <v>-31.792939315149631</v>
      </c>
      <c r="C270" s="63">
        <v>-30.904659597965807</v>
      </c>
      <c r="D270" s="63">
        <v>-31.215057009808675</v>
      </c>
      <c r="E270" s="45"/>
      <c r="F270" s="45"/>
      <c r="G270" s="45"/>
      <c r="H270" s="63">
        <v>-31.504438972563193</v>
      </c>
      <c r="I270" s="43"/>
      <c r="J270" s="4" t="s">
        <v>18</v>
      </c>
      <c r="K270" s="46">
        <f t="shared" si="29"/>
        <v>-31.304218640974707</v>
      </c>
      <c r="L270" s="32">
        <v>31.215057009808675</v>
      </c>
      <c r="M270" s="32">
        <v>-0.3103974118428674</v>
      </c>
      <c r="N270" s="32">
        <v>0.88827971718382415</v>
      </c>
      <c r="O270" s="32">
        <v>0.13374244674904645</v>
      </c>
      <c r="P270" s="128" t="str">
        <f t="shared" si="30"/>
        <v/>
      </c>
      <c r="Q270" s="128" t="str">
        <f t="shared" si="31"/>
        <v/>
      </c>
      <c r="R270" s="128" t="str">
        <f t="shared" si="32"/>
        <v/>
      </c>
      <c r="S270" s="118"/>
      <c r="T270" s="104">
        <v>0</v>
      </c>
      <c r="U270" s="104">
        <v>0</v>
      </c>
      <c r="V270" s="104">
        <v>0</v>
      </c>
      <c r="W270" s="104"/>
      <c r="Y270"/>
    </row>
    <row r="271" spans="1:30" s="47" customFormat="1" x14ac:dyDescent="0.3">
      <c r="A271" s="40">
        <v>816</v>
      </c>
      <c r="B271" s="63">
        <v>-31.301021930526268</v>
      </c>
      <c r="C271" s="63">
        <v>-30.584381866879394</v>
      </c>
      <c r="D271" s="63">
        <v>-30.718236920383347</v>
      </c>
      <c r="E271" s="45"/>
      <c r="F271" s="45"/>
      <c r="G271" s="45"/>
      <c r="H271" s="63">
        <v>-30.855546884756606</v>
      </c>
      <c r="I271" s="43"/>
      <c r="J271" s="4" t="s">
        <v>18</v>
      </c>
      <c r="K271" s="46">
        <f t="shared" si="29"/>
        <v>-30.867880239263002</v>
      </c>
      <c r="L271" s="32">
        <v>30.718236920383347</v>
      </c>
      <c r="M271" s="32">
        <v>-0.13385505350395377</v>
      </c>
      <c r="N271" s="32">
        <v>0.71664006364687438</v>
      </c>
      <c r="O271" s="32">
        <v>0.22446497831948165</v>
      </c>
      <c r="P271" s="128" t="str">
        <f t="shared" si="30"/>
        <v/>
      </c>
      <c r="Q271" s="128" t="str">
        <f t="shared" si="31"/>
        <v/>
      </c>
      <c r="R271" s="128" t="str">
        <f t="shared" si="32"/>
        <v/>
      </c>
      <c r="S271" s="118"/>
      <c r="T271" s="104">
        <v>0</v>
      </c>
      <c r="U271" s="104">
        <v>0</v>
      </c>
      <c r="V271" s="104">
        <v>0</v>
      </c>
      <c r="W271" s="104"/>
      <c r="Y271"/>
    </row>
    <row r="272" spans="1:30" s="47" customFormat="1" x14ac:dyDescent="0.3">
      <c r="A272" s="40">
        <v>817</v>
      </c>
      <c r="B272" s="63">
        <v>-31.813064804481378</v>
      </c>
      <c r="C272" s="63">
        <v>-30.616328974028363</v>
      </c>
      <c r="D272" s="63">
        <v>-31.087265574849802</v>
      </c>
      <c r="E272" s="45"/>
      <c r="F272" s="45"/>
      <c r="G272" s="45"/>
      <c r="H272" s="63">
        <v>-31.638882396510574</v>
      </c>
      <c r="I272" s="43"/>
      <c r="J272" s="4" t="s">
        <v>18</v>
      </c>
      <c r="K272" s="46">
        <f t="shared" si="29"/>
        <v>-31.17221978445318</v>
      </c>
      <c r="L272" s="32">
        <v>31.087265574849802</v>
      </c>
      <c r="M272" s="32">
        <v>-0.47093660082143884</v>
      </c>
      <c r="N272" s="32">
        <v>1.1967358304530151</v>
      </c>
      <c r="O272" s="32">
        <v>0.12743131440506872</v>
      </c>
      <c r="P272" s="128" t="str">
        <f t="shared" si="30"/>
        <v/>
      </c>
      <c r="Q272" s="128" t="str">
        <f t="shared" si="31"/>
        <v/>
      </c>
      <c r="R272" s="128" t="str">
        <f t="shared" si="32"/>
        <v/>
      </c>
      <c r="S272" s="118"/>
      <c r="T272" s="104">
        <v>0</v>
      </c>
      <c r="U272" s="104">
        <v>0</v>
      </c>
      <c r="V272" s="104">
        <v>0</v>
      </c>
      <c r="W272" s="104"/>
      <c r="Y272"/>
    </row>
    <row r="273" spans="1:25" s="47" customFormat="1" x14ac:dyDescent="0.3">
      <c r="A273" s="40">
        <v>818</v>
      </c>
      <c r="B273" s="63">
        <v>-31.551682458591532</v>
      </c>
      <c r="C273" s="63">
        <v>-31.022724973292338</v>
      </c>
      <c r="D273" s="63">
        <v>-30.603186139574213</v>
      </c>
      <c r="E273" s="45"/>
      <c r="F273" s="45"/>
      <c r="G273" s="45"/>
      <c r="H273" s="63">
        <v>-31.413739086492278</v>
      </c>
      <c r="I273" s="43"/>
      <c r="J273" s="4" t="s">
        <v>18</v>
      </c>
      <c r="K273" s="46">
        <f t="shared" si="29"/>
        <v>-31.059197857152697</v>
      </c>
      <c r="L273" s="32">
        <v>30.603186139574213</v>
      </c>
      <c r="M273" s="32">
        <v>0.41953883371812495</v>
      </c>
      <c r="N273" s="32">
        <v>0.52895748529919473</v>
      </c>
      <c r="O273" s="32">
        <v>0.68401757636772231</v>
      </c>
      <c r="P273" s="128" t="str">
        <f t="shared" si="30"/>
        <v/>
      </c>
      <c r="Q273" s="128" t="str">
        <f t="shared" si="31"/>
        <v/>
      </c>
      <c r="R273" s="128" t="str">
        <f t="shared" si="32"/>
        <v/>
      </c>
      <c r="S273" s="118"/>
      <c r="T273" s="104">
        <v>0</v>
      </c>
      <c r="U273" s="104">
        <v>0</v>
      </c>
      <c r="V273" s="104">
        <v>0</v>
      </c>
      <c r="W273" s="104"/>
      <c r="Y273"/>
    </row>
    <row r="274" spans="1:25" s="47" customFormat="1" x14ac:dyDescent="0.3">
      <c r="A274" s="40">
        <v>819</v>
      </c>
      <c r="B274" s="63">
        <v>-32.817200484975515</v>
      </c>
      <c r="C274" s="63">
        <v>-30.827794232493691</v>
      </c>
      <c r="D274" s="63">
        <v>-30.833479016123761</v>
      </c>
      <c r="E274" s="45"/>
      <c r="F274" s="45"/>
      <c r="G274" s="45"/>
      <c r="H274" s="63">
        <v>-30.854407720704835</v>
      </c>
      <c r="I274" s="43"/>
      <c r="J274" s="4" t="s">
        <v>18</v>
      </c>
      <c r="K274" s="46">
        <f t="shared" si="29"/>
        <v>-31.492824577864322</v>
      </c>
      <c r="L274" s="32">
        <v>30.833479016123761</v>
      </c>
      <c r="M274" s="32">
        <v>-5.6847836300697452E-3</v>
      </c>
      <c r="N274" s="32">
        <v>1.9894062524818246</v>
      </c>
      <c r="O274" s="32">
        <v>0.98901834261084076</v>
      </c>
      <c r="P274" s="128" t="str">
        <f t="shared" si="30"/>
        <v/>
      </c>
      <c r="Q274" s="128" t="str">
        <f t="shared" si="31"/>
        <v/>
      </c>
      <c r="R274" s="128" t="str">
        <f t="shared" si="32"/>
        <v/>
      </c>
      <c r="S274" s="118"/>
      <c r="T274" s="104">
        <v>0</v>
      </c>
      <c r="U274" s="104">
        <v>0</v>
      </c>
      <c r="V274" s="104">
        <v>0</v>
      </c>
      <c r="W274" s="104"/>
      <c r="Y274"/>
    </row>
    <row r="275" spans="1:25" s="47" customFormat="1" x14ac:dyDescent="0.3">
      <c r="A275" s="40">
        <v>820</v>
      </c>
      <c r="B275" s="63">
        <v>-30.571712719945538</v>
      </c>
      <c r="C275" s="63">
        <v>-31.022975257873568</v>
      </c>
      <c r="D275" s="63">
        <v>-30.568883065878264</v>
      </c>
      <c r="E275" s="45"/>
      <c r="F275" s="45"/>
      <c r="G275" s="45"/>
      <c r="H275" s="63">
        <v>-30.85913787760057</v>
      </c>
      <c r="I275" s="43"/>
      <c r="J275" s="4" t="s">
        <v>18</v>
      </c>
      <c r="K275" s="46">
        <f t="shared" si="29"/>
        <v>-30.721190347899125</v>
      </c>
      <c r="L275" s="32">
        <v>30.568883065878264</v>
      </c>
      <c r="M275" s="32">
        <v>0.45409219199530426</v>
      </c>
      <c r="N275" s="32">
        <v>-0.45126253792803084</v>
      </c>
      <c r="O275" s="32">
        <v>0.22846092303128884</v>
      </c>
      <c r="P275" s="128" t="str">
        <f t="shared" si="30"/>
        <v/>
      </c>
      <c r="Q275" s="128" t="str">
        <f t="shared" si="31"/>
        <v/>
      </c>
      <c r="R275" s="128" t="str">
        <f t="shared" si="32"/>
        <v/>
      </c>
      <c r="S275" s="118"/>
      <c r="T275" s="104">
        <v>1</v>
      </c>
      <c r="U275" s="104">
        <v>1</v>
      </c>
      <c r="V275" s="104">
        <v>1</v>
      </c>
      <c r="W275" s="104"/>
      <c r="Y275"/>
    </row>
    <row r="276" spans="1:25" s="47" customFormat="1" x14ac:dyDescent="0.3">
      <c r="A276" s="40">
        <v>821</v>
      </c>
      <c r="B276" s="63">
        <v>-30.556096306850314</v>
      </c>
      <c r="C276" s="63">
        <v>-30.785483371738003</v>
      </c>
      <c r="D276" s="63">
        <v>-30.670709398857387</v>
      </c>
      <c r="E276" s="45"/>
      <c r="F276" s="45"/>
      <c r="G276" s="45"/>
      <c r="H276" s="63">
        <v>-31.005118627418973</v>
      </c>
      <c r="I276" s="43"/>
      <c r="J276" s="4" t="s">
        <v>18</v>
      </c>
      <c r="K276" s="46">
        <f t="shared" si="29"/>
        <v>-30.670763025815234</v>
      </c>
      <c r="L276" s="32">
        <v>30.670709398857387</v>
      </c>
      <c r="M276" s="32">
        <v>0.11477397288061653</v>
      </c>
      <c r="N276" s="32">
        <v>-0.22938706488768901</v>
      </c>
      <c r="O276" s="32">
        <v>8.0440436772022395E-5</v>
      </c>
      <c r="P276" s="128" t="str">
        <f t="shared" si="30"/>
        <v/>
      </c>
      <c r="Q276" s="128" t="str">
        <f t="shared" si="31"/>
        <v/>
      </c>
      <c r="R276" s="128" t="str">
        <f t="shared" si="32"/>
        <v/>
      </c>
      <c r="S276" s="118"/>
      <c r="T276" s="104">
        <v>1</v>
      </c>
      <c r="U276" s="104">
        <v>1</v>
      </c>
      <c r="V276" s="104">
        <v>1</v>
      </c>
      <c r="W276" s="104"/>
      <c r="Y276"/>
    </row>
    <row r="277" spans="1:25" s="47" customFormat="1" x14ac:dyDescent="0.3">
      <c r="A277" s="40">
        <v>822</v>
      </c>
      <c r="B277" s="63">
        <v>-30.126911477062379</v>
      </c>
      <c r="C277" s="63">
        <v>-30.658190176597351</v>
      </c>
      <c r="D277" s="63">
        <v>-30.527469146401657</v>
      </c>
      <c r="E277" s="45"/>
      <c r="F277" s="45"/>
      <c r="G277" s="45"/>
      <c r="H277" s="63">
        <v>-30.727928462560754</v>
      </c>
      <c r="I277" s="43"/>
      <c r="J277" s="4" t="s">
        <v>18</v>
      </c>
      <c r="K277" s="46">
        <f t="shared" si="29"/>
        <v>-30.437523600020466</v>
      </c>
      <c r="L277" s="32">
        <v>30.527469146401657</v>
      </c>
      <c r="M277" s="32">
        <v>0.13072103019569425</v>
      </c>
      <c r="N277" s="32">
        <v>-0.53127869953497253</v>
      </c>
      <c r="O277" s="32">
        <v>-0.13491831957179201</v>
      </c>
      <c r="P277" s="128" t="str">
        <f t="shared" si="30"/>
        <v/>
      </c>
      <c r="Q277" s="128" t="str">
        <f t="shared" si="31"/>
        <v/>
      </c>
      <c r="R277" s="128" t="str">
        <f t="shared" si="32"/>
        <v/>
      </c>
      <c r="S277" s="118"/>
      <c r="T277" s="104">
        <v>1</v>
      </c>
      <c r="U277" s="104">
        <v>1</v>
      </c>
      <c r="V277" s="104">
        <v>1</v>
      </c>
      <c r="W277" s="104"/>
      <c r="Y277"/>
    </row>
    <row r="278" spans="1:25" s="47" customFormat="1" x14ac:dyDescent="0.3">
      <c r="A278" s="40">
        <v>823</v>
      </c>
      <c r="B278" s="63">
        <v>-31.344623161206776</v>
      </c>
      <c r="C278" s="63">
        <v>-30.58928482960274</v>
      </c>
      <c r="D278" s="63">
        <v>-30.750362124816565</v>
      </c>
      <c r="E278" s="45"/>
      <c r="F278" s="45"/>
      <c r="G278" s="45"/>
      <c r="H278" s="63">
        <v>-30.463474712249955</v>
      </c>
      <c r="I278" s="43"/>
      <c r="J278" s="4" t="s">
        <v>18</v>
      </c>
      <c r="K278" s="46">
        <f t="shared" si="29"/>
        <v>-30.894756705208692</v>
      </c>
      <c r="L278" s="32">
        <v>30.750362124816565</v>
      </c>
      <c r="M278" s="32">
        <v>-0.16107729521382552</v>
      </c>
      <c r="N278" s="32">
        <v>0.75533833160403674</v>
      </c>
      <c r="O278" s="32">
        <v>0.21659187058819285</v>
      </c>
      <c r="P278" s="128" t="str">
        <f t="shared" si="30"/>
        <v/>
      </c>
      <c r="Q278" s="128" t="str">
        <f t="shared" si="31"/>
        <v/>
      </c>
      <c r="R278" s="128" t="str">
        <f t="shared" si="32"/>
        <v/>
      </c>
      <c r="S278" s="118"/>
      <c r="T278" s="104">
        <v>0</v>
      </c>
      <c r="U278" s="104">
        <v>0</v>
      </c>
      <c r="V278" s="104">
        <v>0</v>
      </c>
      <c r="W278" s="104"/>
      <c r="Y278"/>
    </row>
    <row r="279" spans="1:25" s="47" customFormat="1" x14ac:dyDescent="0.3">
      <c r="A279" s="40">
        <v>824</v>
      </c>
      <c r="B279" s="63">
        <v>-31.50546224305792</v>
      </c>
      <c r="C279" s="63">
        <v>-31.785350679675677</v>
      </c>
      <c r="D279" s="63">
        <v>-31.120710757013782</v>
      </c>
      <c r="E279" s="45"/>
      <c r="F279" s="45"/>
      <c r="G279" s="45"/>
      <c r="H279" s="63">
        <v>-30.990488396697703</v>
      </c>
      <c r="I279" s="43"/>
      <c r="J279" s="4" t="s">
        <v>18</v>
      </c>
      <c r="K279" s="46">
        <f t="shared" si="29"/>
        <v>-31.470507893249124</v>
      </c>
      <c r="L279" s="32">
        <v>31.120710757013782</v>
      </c>
      <c r="M279" s="32">
        <v>0.66463992266189464</v>
      </c>
      <c r="N279" s="32">
        <v>-0.27988843661775675</v>
      </c>
      <c r="O279" s="32">
        <v>0.52469570435301449</v>
      </c>
      <c r="P279" s="128" t="str">
        <f t="shared" si="30"/>
        <v/>
      </c>
      <c r="Q279" s="128" t="str">
        <f t="shared" si="31"/>
        <v/>
      </c>
      <c r="R279" s="128" t="str">
        <f t="shared" si="32"/>
        <v/>
      </c>
      <c r="S279" s="118"/>
      <c r="T279" s="104">
        <v>1</v>
      </c>
      <c r="U279" s="104">
        <v>1</v>
      </c>
      <c r="V279" s="104">
        <v>1</v>
      </c>
      <c r="W279" s="104"/>
      <c r="Y279"/>
    </row>
    <row r="280" spans="1:25" s="47" customFormat="1" x14ac:dyDescent="0.3">
      <c r="A280" s="40">
        <v>825</v>
      </c>
      <c r="B280" s="63">
        <v>-31.340617706651642</v>
      </c>
      <c r="C280" s="63">
        <v>-30.917840031676896</v>
      </c>
      <c r="D280" s="63">
        <v>-30.840125421775983</v>
      </c>
      <c r="E280" s="45"/>
      <c r="F280" s="45"/>
      <c r="G280" s="45"/>
      <c r="H280" s="63">
        <v>-31.374479261003444</v>
      </c>
      <c r="I280" s="43"/>
      <c r="J280" s="4" t="s">
        <v>18</v>
      </c>
      <c r="K280" s="46">
        <f t="shared" si="29"/>
        <v>-31.032861053368176</v>
      </c>
      <c r="L280" s="32">
        <v>30.840125421775983</v>
      </c>
      <c r="M280" s="32">
        <v>7.7714609900912279E-2</v>
      </c>
      <c r="N280" s="32">
        <v>0.42277767497474628</v>
      </c>
      <c r="O280" s="32">
        <v>0.28910344738828542</v>
      </c>
      <c r="P280" s="128" t="str">
        <f t="shared" si="30"/>
        <v/>
      </c>
      <c r="Q280" s="128" t="str">
        <f t="shared" si="31"/>
        <v/>
      </c>
      <c r="R280" s="128" t="str">
        <f t="shared" si="32"/>
        <v/>
      </c>
      <c r="S280" s="118"/>
      <c r="T280" s="104">
        <v>0</v>
      </c>
      <c r="U280" s="104">
        <v>0</v>
      </c>
      <c r="V280" s="104">
        <v>0</v>
      </c>
      <c r="W280" s="104"/>
      <c r="Y280"/>
    </row>
    <row r="281" spans="1:25" s="47" customFormat="1" x14ac:dyDescent="0.3">
      <c r="A281" s="40">
        <v>826</v>
      </c>
      <c r="B281" s="63">
        <v>-31.68588977553609</v>
      </c>
      <c r="C281" s="63">
        <v>-28.299580084487523</v>
      </c>
      <c r="D281" s="63">
        <v>-30.805156183985908</v>
      </c>
      <c r="E281" s="45"/>
      <c r="F281" s="45"/>
      <c r="G281" s="45"/>
      <c r="H281" s="63">
        <v>-31.233202097964654</v>
      </c>
      <c r="I281" s="43"/>
      <c r="J281" s="4" t="s">
        <v>18</v>
      </c>
      <c r="K281" s="46">
        <f t="shared" si="29"/>
        <v>-30.263542014669838</v>
      </c>
      <c r="L281" s="32">
        <v>30.805156183985908</v>
      </c>
      <c r="M281" s="32">
        <v>-2.5055760994983842</v>
      </c>
      <c r="N281" s="32">
        <v>3.3863096910485666</v>
      </c>
      <c r="O281" s="32">
        <v>-0.81242125397410092</v>
      </c>
      <c r="P281" s="128" t="str">
        <f t="shared" si="30"/>
        <v/>
      </c>
      <c r="Q281" s="128" t="str">
        <f t="shared" si="31"/>
        <v/>
      </c>
      <c r="R281" s="128" t="str">
        <f t="shared" si="32"/>
        <v/>
      </c>
      <c r="S281" s="118"/>
      <c r="T281" s="104">
        <v>0</v>
      </c>
      <c r="U281" s="104">
        <v>0</v>
      </c>
      <c r="V281" s="104">
        <v>0</v>
      </c>
      <c r="W281" s="104"/>
      <c r="Y281"/>
    </row>
    <row r="282" spans="1:25" s="47" customFormat="1" x14ac:dyDescent="0.3">
      <c r="A282" s="40">
        <v>827</v>
      </c>
      <c r="B282" s="63">
        <v>-29.884126690619901</v>
      </c>
      <c r="C282" s="63">
        <v>-30.827585589543371</v>
      </c>
      <c r="D282" s="63">
        <v>-29.236194650536255</v>
      </c>
      <c r="E282" s="45"/>
      <c r="F282" s="45"/>
      <c r="G282" s="45"/>
      <c r="H282" s="63">
        <v>-31.154032793107518</v>
      </c>
      <c r="I282" s="43"/>
      <c r="J282" s="4" t="s">
        <v>18</v>
      </c>
      <c r="K282" s="46">
        <f t="shared" si="29"/>
        <v>-29.98263564356651</v>
      </c>
      <c r="L282" s="32">
        <v>29.236194650536255</v>
      </c>
      <c r="M282" s="32">
        <v>1.5913909390071161</v>
      </c>
      <c r="N282" s="32">
        <v>-0.94345889892347046</v>
      </c>
      <c r="O282" s="32">
        <v>1.1196614895453791</v>
      </c>
      <c r="P282" s="128" t="str">
        <f t="shared" si="30"/>
        <v/>
      </c>
      <c r="Q282" s="128" t="str">
        <f t="shared" si="31"/>
        <v/>
      </c>
      <c r="R282" s="128" t="str">
        <f t="shared" si="32"/>
        <v/>
      </c>
      <c r="S282" s="118"/>
      <c r="T282" s="104">
        <v>1</v>
      </c>
      <c r="U282" s="104">
        <v>1</v>
      </c>
      <c r="V282" s="104">
        <v>1</v>
      </c>
      <c r="W282" s="104"/>
      <c r="Y282"/>
    </row>
    <row r="283" spans="1:25" s="47" customFormat="1" x14ac:dyDescent="0.3">
      <c r="A283" s="40">
        <v>828</v>
      </c>
      <c r="B283" s="63">
        <v>-31.210749476566569</v>
      </c>
      <c r="C283" s="63">
        <v>-30.803856255162504</v>
      </c>
      <c r="D283" s="63">
        <v>-30.09517237611027</v>
      </c>
      <c r="E283" s="45"/>
      <c r="F283" s="45"/>
      <c r="G283" s="45"/>
      <c r="H283" s="63">
        <v>-31.165717209594867</v>
      </c>
      <c r="I283" s="43"/>
      <c r="J283" s="4" t="s">
        <v>18</v>
      </c>
      <c r="K283" s="46">
        <f t="shared" si="29"/>
        <v>-30.703259369279781</v>
      </c>
      <c r="L283" s="32">
        <v>30.09517237611027</v>
      </c>
      <c r="M283" s="32">
        <v>0.70868387905223429</v>
      </c>
      <c r="N283" s="32">
        <v>0.40689322140406503</v>
      </c>
      <c r="O283" s="32">
        <v>0.91213048975426858</v>
      </c>
      <c r="P283" s="128" t="str">
        <f t="shared" si="30"/>
        <v/>
      </c>
      <c r="Q283" s="128" t="str">
        <f t="shared" si="31"/>
        <v/>
      </c>
      <c r="R283" s="128" t="str">
        <f t="shared" si="32"/>
        <v/>
      </c>
      <c r="S283" s="118"/>
      <c r="T283" s="104">
        <v>0</v>
      </c>
      <c r="U283" s="104">
        <v>0</v>
      </c>
      <c r="V283" s="104">
        <v>0</v>
      </c>
      <c r="W283" s="104"/>
      <c r="Y283"/>
    </row>
    <row r="284" spans="1:25" s="47" customFormat="1" x14ac:dyDescent="0.3">
      <c r="A284" s="40">
        <v>829</v>
      </c>
      <c r="B284" s="63">
        <v>-31.123172544276855</v>
      </c>
      <c r="C284" s="63">
        <v>-31.610421835724622</v>
      </c>
      <c r="D284" s="63">
        <v>-29.420612077554956</v>
      </c>
      <c r="E284" s="45"/>
      <c r="F284" s="45"/>
      <c r="G284" s="45"/>
      <c r="H284" s="63">
        <v>-30.252865392225765</v>
      </c>
      <c r="I284" s="43"/>
      <c r="J284" s="4" t="s">
        <v>18</v>
      </c>
      <c r="K284" s="46">
        <f t="shared" si="29"/>
        <v>-30.718068819185476</v>
      </c>
      <c r="L284" s="32">
        <v>29.420612077554956</v>
      </c>
      <c r="M284" s="32">
        <v>2.1898097581696661</v>
      </c>
      <c r="N284" s="32">
        <v>-0.48724929144776752</v>
      </c>
      <c r="O284" s="32">
        <v>1.9461851124457823</v>
      </c>
      <c r="P284" s="128" t="str">
        <f t="shared" si="30"/>
        <v/>
      </c>
      <c r="Q284" s="128" t="str">
        <f t="shared" si="31"/>
        <v/>
      </c>
      <c r="R284" s="128" t="str">
        <f t="shared" si="32"/>
        <v/>
      </c>
      <c r="S284" s="118"/>
      <c r="T284" s="104"/>
      <c r="U284" s="104"/>
      <c r="V284" s="104"/>
      <c r="W284" s="104"/>
      <c r="Y284"/>
    </row>
    <row r="285" spans="1:25" s="47" customFormat="1" x14ac:dyDescent="0.3">
      <c r="A285" s="40">
        <v>830</v>
      </c>
      <c r="B285" s="63">
        <v>-31.601247414783614</v>
      </c>
      <c r="C285" s="63">
        <v>-31.15318805055535</v>
      </c>
      <c r="D285" s="63">
        <v>-31.037353121409424</v>
      </c>
      <c r="E285" s="45"/>
      <c r="F285" s="45"/>
      <c r="G285" s="45"/>
      <c r="H285" s="63">
        <v>-31.43365645346611</v>
      </c>
      <c r="I285" s="43"/>
      <c r="J285" s="4" t="s">
        <v>18</v>
      </c>
      <c r="K285" s="46">
        <f t="shared" si="29"/>
        <v>-31.263929528916133</v>
      </c>
      <c r="L285" s="32">
        <v>31.037353121409424</v>
      </c>
      <c r="M285" s="32">
        <v>0.11583492914592597</v>
      </c>
      <c r="N285" s="32">
        <v>0.4480593642282642</v>
      </c>
      <c r="O285" s="32">
        <v>0.33986461126005807</v>
      </c>
      <c r="P285" s="128" t="str">
        <f t="shared" si="30"/>
        <v/>
      </c>
      <c r="Q285" s="128" t="str">
        <f t="shared" si="31"/>
        <v/>
      </c>
      <c r="R285" s="128" t="str">
        <f t="shared" si="32"/>
        <v/>
      </c>
      <c r="S285" s="118"/>
      <c r="T285" s="104">
        <v>0</v>
      </c>
      <c r="U285" s="104">
        <v>0</v>
      </c>
      <c r="V285" s="104">
        <v>0</v>
      </c>
      <c r="W285" s="104"/>
      <c r="Y285"/>
    </row>
    <row r="286" spans="1:25" s="47" customFormat="1" x14ac:dyDescent="0.3">
      <c r="A286" s="40">
        <v>831</v>
      </c>
      <c r="B286" s="63">
        <v>-31.597359849849433</v>
      </c>
      <c r="C286" s="63">
        <v>-30.89103048085234</v>
      </c>
      <c r="D286" s="63">
        <v>-30.991447308826146</v>
      </c>
      <c r="E286" s="45"/>
      <c r="F286" s="45"/>
      <c r="G286" s="45"/>
      <c r="H286" s="63">
        <v>-31.321998187280741</v>
      </c>
      <c r="I286" s="43"/>
      <c r="J286" s="4" t="s">
        <v>18</v>
      </c>
      <c r="K286" s="46">
        <f t="shared" si="29"/>
        <v>-31.159945879842638</v>
      </c>
      <c r="L286" s="32">
        <v>30.991447308826146</v>
      </c>
      <c r="M286" s="32">
        <v>-0.10041682797380602</v>
      </c>
      <c r="N286" s="32">
        <v>0.70632936899709264</v>
      </c>
      <c r="O286" s="32">
        <v>0.25274785652474208</v>
      </c>
      <c r="P286" s="128" t="str">
        <f t="shared" si="30"/>
        <v/>
      </c>
      <c r="Q286" s="128" t="str">
        <f t="shared" si="31"/>
        <v/>
      </c>
      <c r="R286" s="128" t="str">
        <f t="shared" si="32"/>
        <v/>
      </c>
      <c r="S286" s="118"/>
      <c r="T286" s="104">
        <v>0</v>
      </c>
      <c r="U286" s="104">
        <v>0</v>
      </c>
      <c r="V286" s="104">
        <v>0</v>
      </c>
      <c r="W286" s="104"/>
      <c r="Y286"/>
    </row>
    <row r="287" spans="1:25" s="47" customFormat="1" x14ac:dyDescent="0.3">
      <c r="A287" s="40">
        <v>832</v>
      </c>
      <c r="B287" s="63">
        <v>-32.306080974064542</v>
      </c>
      <c r="C287" s="63">
        <v>-31.840361314591171</v>
      </c>
      <c r="D287" s="63">
        <v>-31.066725624957158</v>
      </c>
      <c r="E287" s="45"/>
      <c r="F287" s="45"/>
      <c r="G287" s="45"/>
      <c r="H287" s="63">
        <v>-31.013084158784665</v>
      </c>
      <c r="I287" s="43"/>
      <c r="J287" s="4" t="s">
        <v>18</v>
      </c>
      <c r="K287" s="46">
        <f t="shared" si="29"/>
        <v>-31.737722637870959</v>
      </c>
      <c r="L287" s="32">
        <v>31.066725624957158</v>
      </c>
      <c r="M287" s="32">
        <v>0.77363568963401264</v>
      </c>
      <c r="N287" s="32">
        <v>0.46571965947337191</v>
      </c>
      <c r="O287" s="32">
        <v>1.0064955193707021</v>
      </c>
      <c r="P287" s="128" t="str">
        <f t="shared" si="30"/>
        <v/>
      </c>
      <c r="Q287" s="128" t="str">
        <f t="shared" si="31"/>
        <v/>
      </c>
      <c r="R287" s="128" t="str">
        <f t="shared" si="32"/>
        <v/>
      </c>
      <c r="S287" s="118"/>
      <c r="T287" s="104">
        <v>0</v>
      </c>
      <c r="U287" s="104">
        <v>0</v>
      </c>
      <c r="V287" s="104">
        <v>0</v>
      </c>
      <c r="W287" s="104"/>
      <c r="Y287"/>
    </row>
    <row r="288" spans="1:25" s="47" customFormat="1" x14ac:dyDescent="0.3">
      <c r="A288" s="40">
        <v>833</v>
      </c>
      <c r="B288" s="63">
        <v>-32.288674539159935</v>
      </c>
      <c r="C288" s="63">
        <v>-32.572269510234399</v>
      </c>
      <c r="D288" s="63">
        <v>-31.403118927442186</v>
      </c>
      <c r="E288" s="45"/>
      <c r="F288" s="45"/>
      <c r="G288" s="45"/>
      <c r="H288" s="63">
        <v>-31.53879047069864</v>
      </c>
      <c r="I288" s="43"/>
      <c r="J288" s="4" t="s">
        <v>18</v>
      </c>
      <c r="K288" s="46">
        <f t="shared" si="29"/>
        <v>-32.088020992278842</v>
      </c>
      <c r="L288" s="32">
        <v>31.403118927442186</v>
      </c>
      <c r="M288" s="32">
        <v>1.1691505827922128</v>
      </c>
      <c r="N288" s="32">
        <v>-0.2835949710744643</v>
      </c>
      <c r="O288" s="32">
        <v>1.0273530972549807</v>
      </c>
      <c r="P288" s="128" t="str">
        <f t="shared" si="30"/>
        <v/>
      </c>
      <c r="Q288" s="128" t="str">
        <f t="shared" si="31"/>
        <v/>
      </c>
      <c r="R288" s="128" t="str">
        <f t="shared" si="32"/>
        <v/>
      </c>
      <c r="S288" s="118"/>
      <c r="T288" s="104">
        <v>1</v>
      </c>
      <c r="U288" s="104">
        <v>1</v>
      </c>
      <c r="V288" s="104">
        <v>1</v>
      </c>
      <c r="W288" s="104"/>
      <c r="Y288"/>
    </row>
    <row r="289" spans="1:30" x14ac:dyDescent="0.3">
      <c r="A289" s="4">
        <v>834</v>
      </c>
      <c r="B289" s="18">
        <v>-30.110515255378694</v>
      </c>
      <c r="C289" s="18">
        <v>-30.21025814099519</v>
      </c>
      <c r="D289" s="18">
        <v>-29.83386009601254</v>
      </c>
      <c r="E289" s="18">
        <v>-29.853443081223798</v>
      </c>
      <c r="F289" s="8"/>
      <c r="G289" s="8"/>
      <c r="H289" s="18">
        <v>-29.448129471632875</v>
      </c>
      <c r="I289" s="6"/>
      <c r="J289" s="4" t="s">
        <v>18</v>
      </c>
      <c r="K289" s="32">
        <f t="shared" si="29"/>
        <v>-30.002019143402556</v>
      </c>
      <c r="L289" s="32">
        <v>-1.9582985211258119E-2</v>
      </c>
      <c r="M289" s="32">
        <v>0.3763980449826505</v>
      </c>
      <c r="N289" s="32">
        <v>-9.9742885616496579E-2</v>
      </c>
      <c r="O289" s="32">
        <v>0.31673510956877138</v>
      </c>
      <c r="P289" s="128">
        <f t="shared" si="30"/>
        <v>0.35681505977139238</v>
      </c>
      <c r="Q289" s="128">
        <f t="shared" si="31"/>
        <v>0.25707217415489581</v>
      </c>
      <c r="R289" s="128">
        <f t="shared" si="32"/>
        <v>0.30694361696314232</v>
      </c>
      <c r="S289" s="115">
        <v>0</v>
      </c>
      <c r="T289" s="99">
        <v>1</v>
      </c>
      <c r="U289" s="99">
        <v>1</v>
      </c>
      <c r="V289" s="99">
        <v>1</v>
      </c>
      <c r="W289" s="99">
        <v>0</v>
      </c>
      <c r="X289" t="s">
        <v>16</v>
      </c>
      <c r="AC289"/>
      <c r="AD289"/>
    </row>
    <row r="290" spans="1:30" x14ac:dyDescent="0.3">
      <c r="A290" s="4">
        <v>835</v>
      </c>
      <c r="B290" s="18">
        <v>-31.576739574843913</v>
      </c>
      <c r="C290" s="18">
        <v>-30.056030143131114</v>
      </c>
      <c r="D290" s="18">
        <v>-29.9015788688641</v>
      </c>
      <c r="E290" s="18">
        <v>-28.954042549585523</v>
      </c>
      <c r="F290" s="8"/>
      <c r="G290" s="8"/>
      <c r="H290" s="18">
        <v>-30.417641111765178</v>
      </c>
      <c r="I290" s="6"/>
      <c r="J290" s="4" t="s">
        <v>18</v>
      </c>
      <c r="K290" s="32">
        <f t="shared" si="29"/>
        <v>-30.12209778410616</v>
      </c>
      <c r="L290" s="32">
        <v>0.9475363192785764</v>
      </c>
      <c r="M290" s="32">
        <v>0.15445127426701433</v>
      </c>
      <c r="N290" s="32">
        <v>1.5207094317127989</v>
      </c>
      <c r="O290" s="32">
        <v>1.3885741497627002</v>
      </c>
      <c r="P290" s="128">
        <f t="shared" si="30"/>
        <v>1.6751607059798133</v>
      </c>
      <c r="Q290" s="128">
        <f t="shared" si="31"/>
        <v>0.15445127426701433</v>
      </c>
      <c r="R290" s="128">
        <f t="shared" si="32"/>
        <v>0.91480599012341202</v>
      </c>
      <c r="S290" s="115">
        <v>0</v>
      </c>
      <c r="T290" s="99">
        <v>0</v>
      </c>
      <c r="U290" s="99">
        <v>0</v>
      </c>
      <c r="V290" s="99">
        <v>0</v>
      </c>
      <c r="W290" s="99">
        <v>1</v>
      </c>
      <c r="X290" t="s">
        <v>16</v>
      </c>
      <c r="AC290"/>
      <c r="AD290"/>
    </row>
    <row r="291" spans="1:30" x14ac:dyDescent="0.3">
      <c r="A291" s="4">
        <v>836</v>
      </c>
      <c r="B291" s="18">
        <v>-30.800125936344905</v>
      </c>
      <c r="C291" s="18">
        <v>-31.262791479310252</v>
      </c>
      <c r="D291" s="18">
        <v>-29.916118713932395</v>
      </c>
      <c r="E291" s="18">
        <v>-30.627134047815328</v>
      </c>
      <c r="F291" s="8"/>
      <c r="G291" s="8"/>
      <c r="H291" s="18">
        <v>-30.765518553123336</v>
      </c>
      <c r="I291" s="6"/>
      <c r="J291" s="4" t="s">
        <v>18</v>
      </c>
      <c r="K291" s="32">
        <f t="shared" si="29"/>
        <v>-30.651542544350722</v>
      </c>
      <c r="L291" s="32">
        <v>-0.71101533388293348</v>
      </c>
      <c r="M291" s="32">
        <v>1.346672765377857</v>
      </c>
      <c r="N291" s="32">
        <v>-0.46266554296534679</v>
      </c>
      <c r="O291" s="32">
        <v>0.75983232695371683</v>
      </c>
      <c r="P291" s="128">
        <f t="shared" si="30"/>
        <v>0.63565743149492349</v>
      </c>
      <c r="Q291" s="128">
        <f t="shared" si="31"/>
        <v>0.1729918885295767</v>
      </c>
      <c r="R291" s="128">
        <f t="shared" si="32"/>
        <v>0.40432466001225009</v>
      </c>
      <c r="S291" s="115">
        <v>0</v>
      </c>
      <c r="T291" s="99">
        <v>1</v>
      </c>
      <c r="U291" s="99">
        <v>1</v>
      </c>
      <c r="V291" s="99">
        <v>1</v>
      </c>
      <c r="W291" s="99">
        <v>0</v>
      </c>
      <c r="X291" t="s">
        <v>16</v>
      </c>
      <c r="AC291"/>
      <c r="AD291"/>
    </row>
    <row r="292" spans="1:30" x14ac:dyDescent="0.3">
      <c r="A292" s="4">
        <v>837</v>
      </c>
      <c r="B292" s="18">
        <v>-31.366915050210984</v>
      </c>
      <c r="C292" s="18">
        <v>-31.199987249119967</v>
      </c>
      <c r="D292" s="18">
        <v>-30.884604781533383</v>
      </c>
      <c r="E292" s="18">
        <v>-30.540980379225058</v>
      </c>
      <c r="F292" s="8"/>
      <c r="G292" s="8"/>
      <c r="H292" s="18">
        <v>-30.854702682861721</v>
      </c>
      <c r="I292" s="6"/>
      <c r="J292" s="4" t="s">
        <v>18</v>
      </c>
      <c r="K292" s="32">
        <f t="shared" si="29"/>
        <v>-30.998121865022348</v>
      </c>
      <c r="L292" s="32">
        <v>0.34362440230832547</v>
      </c>
      <c r="M292" s="32">
        <v>0.31538246758658417</v>
      </c>
      <c r="N292" s="32">
        <v>0.1669278010910169</v>
      </c>
      <c r="O292" s="32">
        <v>0.5706585692862518</v>
      </c>
      <c r="P292" s="128">
        <f t="shared" si="30"/>
        <v>0.48231026867760107</v>
      </c>
      <c r="Q292" s="128">
        <f t="shared" si="31"/>
        <v>0.31538246758658417</v>
      </c>
      <c r="R292" s="128">
        <f t="shared" si="32"/>
        <v>0.39884636813209084</v>
      </c>
      <c r="S292" s="115">
        <v>0</v>
      </c>
      <c r="T292" s="99">
        <v>0</v>
      </c>
      <c r="U292" s="99">
        <v>0</v>
      </c>
      <c r="V292" s="99">
        <v>0</v>
      </c>
      <c r="W292" s="99">
        <v>0</v>
      </c>
      <c r="X292" t="s">
        <v>16</v>
      </c>
      <c r="AC292"/>
      <c r="AD292"/>
    </row>
    <row r="293" spans="1:30" x14ac:dyDescent="0.3">
      <c r="A293" s="4">
        <v>838</v>
      </c>
      <c r="B293" s="18">
        <v>-31.012026042525136</v>
      </c>
      <c r="C293" s="18">
        <v>-30.748063851362403</v>
      </c>
      <c r="D293" s="18">
        <v>-29.800256883759271</v>
      </c>
      <c r="E293" s="18">
        <v>-29.800256883759271</v>
      </c>
      <c r="F293" s="8"/>
      <c r="G293" s="8"/>
      <c r="H293" s="18">
        <v>-30.505848554115012</v>
      </c>
      <c r="I293" s="6"/>
      <c r="J293" s="4" t="s">
        <v>18</v>
      </c>
      <c r="K293" s="32">
        <f t="shared" si="29"/>
        <v>-30.340150915351522</v>
      </c>
      <c r="L293" s="32">
        <v>0</v>
      </c>
      <c r="M293" s="32">
        <v>0.94780696760313177</v>
      </c>
      <c r="N293" s="32">
        <v>0.26396219116273301</v>
      </c>
      <c r="O293" s="32">
        <v>1.0797880631844983</v>
      </c>
      <c r="P293" s="128">
        <f t="shared" si="30"/>
        <v>1.2117691587658648</v>
      </c>
      <c r="Q293" s="128">
        <f t="shared" si="31"/>
        <v>0.94780696760313177</v>
      </c>
      <c r="R293" s="128">
        <f t="shared" si="32"/>
        <v>1.0797880631844983</v>
      </c>
      <c r="S293" s="115">
        <v>0</v>
      </c>
      <c r="T293" s="99">
        <v>0</v>
      </c>
      <c r="U293" s="99">
        <v>0</v>
      </c>
      <c r="V293" s="99">
        <v>0</v>
      </c>
      <c r="W293" s="99">
        <v>0</v>
      </c>
      <c r="X293" t="s">
        <v>16</v>
      </c>
      <c r="AC293"/>
      <c r="AD293"/>
    </row>
    <row r="294" spans="1:30" x14ac:dyDescent="0.3">
      <c r="A294" s="4">
        <v>839</v>
      </c>
      <c r="B294" s="18">
        <v>-30.649341425553857</v>
      </c>
      <c r="C294" s="18">
        <v>-30.826677885567211</v>
      </c>
      <c r="D294" s="18">
        <v>-30.295993007749363</v>
      </c>
      <c r="E294" s="18">
        <v>-29.56647072872736</v>
      </c>
      <c r="F294" s="8"/>
      <c r="G294" s="8"/>
      <c r="H294" s="18">
        <v>-30.474391527309439</v>
      </c>
      <c r="I294" s="6"/>
      <c r="J294" s="4" t="s">
        <v>18</v>
      </c>
      <c r="K294" s="32">
        <f t="shared" si="29"/>
        <v>-30.334620761899444</v>
      </c>
      <c r="L294" s="32">
        <v>0.72952227902200306</v>
      </c>
      <c r="M294" s="32">
        <v>0.53068487781784768</v>
      </c>
      <c r="N294" s="32">
        <v>-0.17733646001335401</v>
      </c>
      <c r="O294" s="32">
        <v>0.80677778732216865</v>
      </c>
      <c r="P294" s="128">
        <f t="shared" si="30"/>
        <v>0.53068487781784768</v>
      </c>
      <c r="Q294" s="128">
        <f t="shared" si="31"/>
        <v>0.35334841780449366</v>
      </c>
      <c r="R294" s="128">
        <f t="shared" si="32"/>
        <v>0.44201664781116889</v>
      </c>
      <c r="S294" s="115">
        <v>0</v>
      </c>
      <c r="T294" s="99">
        <v>1</v>
      </c>
      <c r="U294" s="99">
        <v>1</v>
      </c>
      <c r="V294" s="99">
        <v>1</v>
      </c>
      <c r="W294" s="99">
        <v>0</v>
      </c>
      <c r="X294" t="s">
        <v>16</v>
      </c>
      <c r="AC294"/>
      <c r="AD294"/>
    </row>
    <row r="295" spans="1:30" x14ac:dyDescent="0.3">
      <c r="A295" s="4">
        <v>840</v>
      </c>
      <c r="B295" s="18">
        <v>-31.210728795263485</v>
      </c>
      <c r="C295" s="18">
        <v>-30.056030143131114</v>
      </c>
      <c r="D295" s="18">
        <v>-29.598108315536575</v>
      </c>
      <c r="E295" s="18">
        <v>-29.241743446001642</v>
      </c>
      <c r="F295" s="8"/>
      <c r="G295" s="8"/>
      <c r="H295" s="18">
        <v>-29.504798636266784</v>
      </c>
      <c r="I295" s="6"/>
      <c r="J295" s="4" t="s">
        <v>18</v>
      </c>
      <c r="K295" s="32">
        <f t="shared" si="29"/>
        <v>-30.026652674983204</v>
      </c>
      <c r="L295" s="32">
        <v>0.35636486953493218</v>
      </c>
      <c r="M295" s="32">
        <v>0.45792182759453937</v>
      </c>
      <c r="N295" s="32">
        <v>1.154698652132371</v>
      </c>
      <c r="O295" s="32">
        <v>1.2134535884281945</v>
      </c>
      <c r="P295" s="128">
        <f t="shared" si="30"/>
        <v>1.6126204797269104</v>
      </c>
      <c r="Q295" s="128">
        <f t="shared" si="31"/>
        <v>0.45792182759453937</v>
      </c>
      <c r="R295" s="128">
        <f t="shared" si="32"/>
        <v>1.0352711536607266</v>
      </c>
      <c r="S295" s="115">
        <v>0</v>
      </c>
      <c r="T295" s="99">
        <v>0</v>
      </c>
      <c r="U295" s="99">
        <v>0</v>
      </c>
      <c r="V295" s="99">
        <v>0</v>
      </c>
      <c r="W295" s="99">
        <v>0</v>
      </c>
      <c r="X295" t="s">
        <v>16</v>
      </c>
      <c r="AC295"/>
      <c r="AD295"/>
    </row>
    <row r="296" spans="1:30" x14ac:dyDescent="0.3">
      <c r="A296" s="4">
        <v>841</v>
      </c>
      <c r="B296" s="18">
        <v>-30.800631706756803</v>
      </c>
      <c r="C296" s="18">
        <v>-30.996208637678318</v>
      </c>
      <c r="D296" s="18">
        <v>-30.829940674310429</v>
      </c>
      <c r="E296" s="18">
        <v>-30.735894548842992</v>
      </c>
      <c r="F296" s="8"/>
      <c r="G296" s="8"/>
      <c r="H296" s="18">
        <v>-29.627743012934992</v>
      </c>
      <c r="I296" s="6"/>
      <c r="J296" s="4" t="s">
        <v>18</v>
      </c>
      <c r="K296" s="32">
        <f t="shared" si="29"/>
        <v>-30.840668891897138</v>
      </c>
      <c r="L296" s="32">
        <v>9.404612546743607E-2</v>
      </c>
      <c r="M296" s="32">
        <v>0.16626796336788985</v>
      </c>
      <c r="N296" s="32">
        <v>-0.19557693092151496</v>
      </c>
      <c r="O296" s="32">
        <v>0.11550256064085218</v>
      </c>
      <c r="P296" s="128">
        <f t="shared" si="30"/>
        <v>0.16626796336788985</v>
      </c>
      <c r="Q296" s="128">
        <f t="shared" si="31"/>
        <v>-2.9308967553625109E-2</v>
      </c>
      <c r="R296" s="128">
        <f t="shared" si="32"/>
        <v>6.8479497907134146E-2</v>
      </c>
      <c r="S296" s="115">
        <v>0</v>
      </c>
      <c r="T296" s="99">
        <v>1</v>
      </c>
      <c r="U296" s="99">
        <v>1</v>
      </c>
      <c r="V296" s="99">
        <v>1</v>
      </c>
      <c r="W296" s="99">
        <v>0</v>
      </c>
      <c r="X296" t="s">
        <v>16</v>
      </c>
      <c r="AC296"/>
      <c r="AD296"/>
    </row>
    <row r="297" spans="1:30" x14ac:dyDescent="0.3">
      <c r="A297" s="4">
        <v>842</v>
      </c>
      <c r="B297" s="18">
        <v>-31.456476923085884</v>
      </c>
      <c r="C297" s="18">
        <v>-29.824725843900698</v>
      </c>
      <c r="D297" s="18">
        <v>-29.912491516342207</v>
      </c>
      <c r="E297" s="18">
        <v>-29.798352727872093</v>
      </c>
      <c r="F297" s="8"/>
      <c r="G297" s="8"/>
      <c r="H297" s="18">
        <v>-30.572921372256555</v>
      </c>
      <c r="I297" s="6"/>
      <c r="J297" s="4" t="s">
        <v>18</v>
      </c>
      <c r="K297" s="32">
        <f t="shared" si="29"/>
        <v>-30.248011752800224</v>
      </c>
      <c r="L297" s="32">
        <v>0.1141387884701146</v>
      </c>
      <c r="M297" s="32">
        <v>-8.7765672441509679E-2</v>
      </c>
      <c r="N297" s="32">
        <v>1.6317510791851859</v>
      </c>
      <c r="O297" s="32">
        <v>0.78517926138614058</v>
      </c>
      <c r="P297" s="128">
        <f t="shared" si="30"/>
        <v>1.5439854067436762</v>
      </c>
      <c r="Q297" s="128">
        <f t="shared" si="31"/>
        <v>-8.7765672441509679E-2</v>
      </c>
      <c r="R297" s="128">
        <f t="shared" si="32"/>
        <v>0.72810986715108328</v>
      </c>
      <c r="S297" s="115">
        <v>0</v>
      </c>
      <c r="T297" s="99">
        <v>0</v>
      </c>
      <c r="U297" s="99">
        <v>0</v>
      </c>
      <c r="V297" s="99">
        <v>0</v>
      </c>
      <c r="W297" s="99">
        <v>1</v>
      </c>
      <c r="X297" t="s">
        <v>16</v>
      </c>
      <c r="AC297"/>
      <c r="AD297"/>
    </row>
    <row r="298" spans="1:30" x14ac:dyDescent="0.3">
      <c r="A298" s="4">
        <v>843</v>
      </c>
      <c r="B298" s="18">
        <v>-30.186745072552753</v>
      </c>
      <c r="C298" s="18">
        <v>-31.002109924973276</v>
      </c>
      <c r="D298" s="18">
        <v>-30.347746644459683</v>
      </c>
      <c r="E298" s="18">
        <v>-30.408855152705843</v>
      </c>
      <c r="F298" s="8"/>
      <c r="G298" s="8"/>
      <c r="H298" s="18">
        <v>-29.997018046858422</v>
      </c>
      <c r="I298" s="6"/>
      <c r="J298" s="4" t="s">
        <v>18</v>
      </c>
      <c r="K298" s="32">
        <f t="shared" si="29"/>
        <v>-30.486364198672888</v>
      </c>
      <c r="L298" s="32">
        <v>-6.1108508246160653E-2</v>
      </c>
      <c r="M298" s="32">
        <v>0.65436328051359283</v>
      </c>
      <c r="N298" s="32">
        <v>-0.81536485242052237</v>
      </c>
      <c r="O298" s="32">
        <v>0.21612660018024954</v>
      </c>
      <c r="P298" s="128">
        <f t="shared" si="30"/>
        <v>0.59325477226743217</v>
      </c>
      <c r="Q298" s="128">
        <f t="shared" si="31"/>
        <v>-0.22211008015309019</v>
      </c>
      <c r="R298" s="128">
        <f t="shared" si="32"/>
        <v>0.18557234605717099</v>
      </c>
      <c r="S298" s="115">
        <v>0</v>
      </c>
      <c r="T298" s="99">
        <v>1</v>
      </c>
      <c r="U298" s="99">
        <v>1</v>
      </c>
      <c r="V298" s="99">
        <v>1</v>
      </c>
      <c r="W298" s="99">
        <v>0</v>
      </c>
      <c r="X298" t="s">
        <v>16</v>
      </c>
      <c r="AC298"/>
      <c r="AD298"/>
    </row>
    <row r="299" spans="1:30" x14ac:dyDescent="0.3">
      <c r="A299" s="4">
        <v>844</v>
      </c>
      <c r="B299" s="18">
        <v>-31.560159169781102</v>
      </c>
      <c r="C299" s="18">
        <v>-31.148718075628583</v>
      </c>
      <c r="D299" s="18">
        <v>-30.922175952596493</v>
      </c>
      <c r="E299" s="18">
        <v>-29.494755181866449</v>
      </c>
      <c r="F299" s="8"/>
      <c r="G299" s="8"/>
      <c r="H299" s="18">
        <v>-30.251030610396668</v>
      </c>
      <c r="I299" s="6"/>
      <c r="J299" s="4" t="s">
        <v>18</v>
      </c>
      <c r="K299" s="32">
        <f t="shared" si="29"/>
        <v>-30.781452094968156</v>
      </c>
      <c r="L299" s="32">
        <v>1.4274207707300448</v>
      </c>
      <c r="M299" s="32">
        <v>0.22654212303208965</v>
      </c>
      <c r="N299" s="32">
        <v>0.41144109415251862</v>
      </c>
      <c r="O299" s="32">
        <v>1.1459730554733696</v>
      </c>
      <c r="P299" s="128">
        <f t="shared" si="30"/>
        <v>0.63798321718460826</v>
      </c>
      <c r="Q299" s="128">
        <f t="shared" si="31"/>
        <v>0.22654212303208965</v>
      </c>
      <c r="R299" s="128">
        <f t="shared" si="32"/>
        <v>0.43226267010834718</v>
      </c>
      <c r="S299" s="115">
        <v>0</v>
      </c>
      <c r="T299" s="99">
        <v>0</v>
      </c>
      <c r="U299" s="99">
        <v>0</v>
      </c>
      <c r="V299" s="99">
        <v>0</v>
      </c>
      <c r="W299" s="99">
        <v>0</v>
      </c>
      <c r="X299" t="s">
        <v>16</v>
      </c>
      <c r="AC299"/>
      <c r="AD299"/>
    </row>
    <row r="300" spans="1:30" x14ac:dyDescent="0.3">
      <c r="A300" s="4">
        <v>845</v>
      </c>
      <c r="B300" s="18">
        <v>-31.480600859777514</v>
      </c>
      <c r="C300" s="18">
        <v>-31.180715721358894</v>
      </c>
      <c r="D300" s="18">
        <v>-30.821424512589399</v>
      </c>
      <c r="E300" s="18">
        <v>-30.580148521654344</v>
      </c>
      <c r="F300" s="8"/>
      <c r="G300" s="8"/>
      <c r="H300" s="18">
        <v>-29.765270436091267</v>
      </c>
      <c r="I300" s="6"/>
      <c r="J300" s="4" t="s">
        <v>18</v>
      </c>
      <c r="K300" s="32">
        <f t="shared" si="29"/>
        <v>-31.015722403845039</v>
      </c>
      <c r="L300" s="32">
        <v>0.24127599093505481</v>
      </c>
      <c r="M300" s="32">
        <v>0.35929120876949483</v>
      </c>
      <c r="N300" s="32">
        <v>0.2998851384186203</v>
      </c>
      <c r="O300" s="32">
        <v>0.62987177344633238</v>
      </c>
      <c r="P300" s="128">
        <f t="shared" si="30"/>
        <v>0.65917634718811513</v>
      </c>
      <c r="Q300" s="128">
        <f t="shared" si="31"/>
        <v>0.35929120876949483</v>
      </c>
      <c r="R300" s="128">
        <f t="shared" si="32"/>
        <v>0.5092337779788032</v>
      </c>
      <c r="S300" s="115">
        <v>0</v>
      </c>
      <c r="T300" s="99">
        <v>0</v>
      </c>
      <c r="U300" s="99">
        <v>0</v>
      </c>
      <c r="V300" s="99">
        <v>0</v>
      </c>
      <c r="W300" s="99">
        <v>0</v>
      </c>
      <c r="X300" t="s">
        <v>16</v>
      </c>
      <c r="AC300"/>
      <c r="AD300"/>
    </row>
    <row r="301" spans="1:30" x14ac:dyDescent="0.3">
      <c r="A301" s="4">
        <v>846</v>
      </c>
      <c r="B301" s="18">
        <v>-30.373926426672796</v>
      </c>
      <c r="C301" s="18">
        <v>-32.097362615814504</v>
      </c>
      <c r="D301" s="18">
        <v>-30.789022888886613</v>
      </c>
      <c r="E301" s="18">
        <v>-30.813258638364353</v>
      </c>
      <c r="F301" s="8"/>
      <c r="G301" s="8"/>
      <c r="H301" s="18">
        <v>-29.659768543823887</v>
      </c>
      <c r="I301" s="6"/>
      <c r="J301" s="4" t="s">
        <v>18</v>
      </c>
      <c r="K301" s="32">
        <f t="shared" si="29"/>
        <v>-31.018392642434563</v>
      </c>
      <c r="L301" s="32">
        <v>-2.4235749477739432E-2</v>
      </c>
      <c r="M301" s="32">
        <v>1.3083397269278905</v>
      </c>
      <c r="N301" s="32">
        <v>-1.723436189141708</v>
      </c>
      <c r="O301" s="32">
        <v>0.43450375761816673</v>
      </c>
      <c r="P301" s="128">
        <f t="shared" si="30"/>
        <v>1.284103977450151</v>
      </c>
      <c r="Q301" s="128">
        <f t="shared" si="31"/>
        <v>-0.43933221169155701</v>
      </c>
      <c r="R301" s="128">
        <f t="shared" si="32"/>
        <v>0.42238588287929701</v>
      </c>
      <c r="S301" s="115">
        <v>0</v>
      </c>
      <c r="T301" s="99">
        <v>1</v>
      </c>
      <c r="U301" s="99">
        <v>1</v>
      </c>
      <c r="V301" s="99">
        <v>1</v>
      </c>
      <c r="W301" s="99">
        <v>0</v>
      </c>
      <c r="X301" t="s">
        <v>16</v>
      </c>
      <c r="AC301"/>
      <c r="AD301"/>
    </row>
    <row r="302" spans="1:30" x14ac:dyDescent="0.3">
      <c r="A302" s="4">
        <v>847</v>
      </c>
      <c r="B302" s="18">
        <v>-30.94775009859503</v>
      </c>
      <c r="C302" s="18">
        <v>-30.0002732132251</v>
      </c>
      <c r="D302" s="18">
        <v>-30.621624286973329</v>
      </c>
      <c r="E302" s="18">
        <v>-30.031497105137433</v>
      </c>
      <c r="F302" s="8"/>
      <c r="G302" s="8"/>
      <c r="H302" s="18">
        <v>-30.722898776257647</v>
      </c>
      <c r="I302" s="6"/>
      <c r="J302" s="4" t="s">
        <v>18</v>
      </c>
      <c r="K302" s="32">
        <f t="shared" si="29"/>
        <v>-30.400286175982725</v>
      </c>
      <c r="L302" s="32">
        <v>0.59012718183589641</v>
      </c>
      <c r="M302" s="32">
        <v>-0.62135107374822951</v>
      </c>
      <c r="N302" s="32">
        <v>0.94747688536993024</v>
      </c>
      <c r="O302" s="32">
        <v>0.14745095985468382</v>
      </c>
      <c r="P302" s="128">
        <f t="shared" si="30"/>
        <v>0.32612581162170073</v>
      </c>
      <c r="Q302" s="128">
        <f t="shared" si="31"/>
        <v>-0.62135107374822951</v>
      </c>
      <c r="R302" s="128">
        <f t="shared" si="32"/>
        <v>-0.14761263106326439</v>
      </c>
      <c r="S302" s="115">
        <v>1</v>
      </c>
      <c r="T302" s="99">
        <v>0</v>
      </c>
      <c r="U302" s="99">
        <v>0</v>
      </c>
      <c r="V302" s="99">
        <v>0</v>
      </c>
      <c r="W302" s="99">
        <v>0</v>
      </c>
      <c r="X302" t="s">
        <v>16</v>
      </c>
      <c r="AC302"/>
      <c r="AD302"/>
    </row>
    <row r="303" spans="1:30" x14ac:dyDescent="0.3">
      <c r="A303" s="4">
        <v>848</v>
      </c>
      <c r="B303" s="18">
        <v>-31.102915044079033</v>
      </c>
      <c r="C303" s="18">
        <v>-31.335730739447946</v>
      </c>
      <c r="D303" s="18">
        <v>-30.913610267463504</v>
      </c>
      <c r="E303" s="18">
        <v>-30.404475765431698</v>
      </c>
      <c r="F303" s="8"/>
      <c r="G303" s="8"/>
      <c r="H303" s="18">
        <v>-30.486639545645666</v>
      </c>
      <c r="I303" s="6"/>
      <c r="J303" s="4" t="s">
        <v>18</v>
      </c>
      <c r="K303" s="32">
        <f t="shared" si="29"/>
        <v>-30.939182954105547</v>
      </c>
      <c r="L303" s="32">
        <v>0.50913450203180588</v>
      </c>
      <c r="M303" s="32">
        <v>0.42212047198444225</v>
      </c>
      <c r="N303" s="32">
        <v>-0.23281569536891311</v>
      </c>
      <c r="O303" s="32">
        <v>0.56027987531588863</v>
      </c>
      <c r="P303" s="128">
        <f t="shared" si="30"/>
        <v>0.42212047198444225</v>
      </c>
      <c r="Q303" s="128">
        <f t="shared" si="31"/>
        <v>0.18930477661552914</v>
      </c>
      <c r="R303" s="128">
        <f t="shared" si="32"/>
        <v>0.30571262429998569</v>
      </c>
      <c r="S303" s="115">
        <v>0</v>
      </c>
      <c r="T303" s="99">
        <v>1</v>
      </c>
      <c r="U303" s="99">
        <v>1</v>
      </c>
      <c r="V303" s="99">
        <v>1</v>
      </c>
      <c r="W303" s="99">
        <v>0</v>
      </c>
      <c r="X303" t="s">
        <v>16</v>
      </c>
      <c r="AC303"/>
      <c r="AD303"/>
    </row>
    <row r="304" spans="1:30" x14ac:dyDescent="0.3">
      <c r="A304" s="4">
        <v>849</v>
      </c>
      <c r="B304" s="18">
        <v>-31.065721130180822</v>
      </c>
      <c r="C304" s="18">
        <v>-30.900029413206532</v>
      </c>
      <c r="D304" s="18">
        <v>-30.303669517115118</v>
      </c>
      <c r="E304" s="18">
        <v>-30.608973443081229</v>
      </c>
      <c r="F304" s="8"/>
      <c r="G304" s="8"/>
      <c r="H304" s="18">
        <v>-30.203710652119454</v>
      </c>
      <c r="I304" s="6"/>
      <c r="J304" s="4" t="s">
        <v>18</v>
      </c>
      <c r="K304" s="32">
        <f t="shared" si="29"/>
        <v>-30.719598375895927</v>
      </c>
      <c r="L304" s="32">
        <v>-0.30530392596611122</v>
      </c>
      <c r="M304" s="32">
        <v>0.59635989609141404</v>
      </c>
      <c r="N304" s="32">
        <v>0.16569171697429042</v>
      </c>
      <c r="O304" s="32">
        <v>0.52655379159550364</v>
      </c>
      <c r="P304" s="128">
        <f t="shared" si="30"/>
        <v>0.45674768709959324</v>
      </c>
      <c r="Q304" s="128">
        <f t="shared" si="31"/>
        <v>0.29105597012530282</v>
      </c>
      <c r="R304" s="128">
        <f t="shared" si="32"/>
        <v>0.3739018286124498</v>
      </c>
      <c r="S304" s="115">
        <v>0</v>
      </c>
      <c r="T304" s="99">
        <v>0</v>
      </c>
      <c r="U304" s="99">
        <v>0</v>
      </c>
      <c r="V304" s="99">
        <v>0</v>
      </c>
      <c r="W304" s="99">
        <v>0</v>
      </c>
      <c r="X304" t="s">
        <v>16</v>
      </c>
      <c r="AC304"/>
      <c r="AD304"/>
    </row>
    <row r="305" spans="1:30" x14ac:dyDescent="0.3">
      <c r="A305" s="4">
        <v>850</v>
      </c>
      <c r="B305" s="18">
        <v>-31.127805270239232</v>
      </c>
      <c r="C305" s="18">
        <v>-30.907238887094831</v>
      </c>
      <c r="D305" s="18">
        <v>-30.460057939459166</v>
      </c>
      <c r="E305" s="18">
        <v>-30.608973443081229</v>
      </c>
      <c r="F305" s="8"/>
      <c r="G305" s="8"/>
      <c r="H305" s="18">
        <v>-29.374733108368304</v>
      </c>
      <c r="I305" s="6"/>
      <c r="J305" s="4" t="s">
        <v>18</v>
      </c>
      <c r="K305" s="32">
        <f t="shared" si="29"/>
        <v>-30.776018884968614</v>
      </c>
      <c r="L305" s="32">
        <v>-0.14891550362206374</v>
      </c>
      <c r="M305" s="32">
        <v>0.4471809476356654</v>
      </c>
      <c r="N305" s="32">
        <v>0.22056638314440136</v>
      </c>
      <c r="O305" s="32">
        <v>0.48300638739683421</v>
      </c>
      <c r="P305" s="128">
        <f t="shared" si="30"/>
        <v>0.51883182715800302</v>
      </c>
      <c r="Q305" s="128">
        <f t="shared" si="31"/>
        <v>0.29826544401360167</v>
      </c>
      <c r="R305" s="128">
        <f t="shared" si="32"/>
        <v>0.40854863558580234</v>
      </c>
      <c r="S305" s="115">
        <v>0</v>
      </c>
      <c r="T305" s="99">
        <v>0</v>
      </c>
      <c r="U305" s="99">
        <v>0</v>
      </c>
      <c r="V305" s="99">
        <v>0</v>
      </c>
      <c r="W305" s="99">
        <v>0</v>
      </c>
      <c r="X305" t="s">
        <v>16</v>
      </c>
      <c r="AC305"/>
      <c r="AD305"/>
    </row>
    <row r="306" spans="1:30" x14ac:dyDescent="0.3">
      <c r="A306" s="4">
        <v>851</v>
      </c>
      <c r="B306" s="18">
        <v>-30.734605716535953</v>
      </c>
      <c r="C306" s="18">
        <v>-31.347557233197705</v>
      </c>
      <c r="D306" s="18">
        <v>-30.740242006875587</v>
      </c>
      <c r="E306" s="18">
        <v>-30.739892063985096</v>
      </c>
      <c r="F306" s="8"/>
      <c r="G306" s="8"/>
      <c r="H306" s="18">
        <v>-29.394214796652093</v>
      </c>
      <c r="I306" s="6"/>
      <c r="J306" s="4" t="s">
        <v>18</v>
      </c>
      <c r="K306" s="32">
        <f t="shared" si="29"/>
        <v>-30.890574255148586</v>
      </c>
      <c r="L306" s="32">
        <v>3.4994289049095073E-4</v>
      </c>
      <c r="M306" s="32">
        <v>0.60731522632211821</v>
      </c>
      <c r="N306" s="32">
        <v>-0.61295151666175229</v>
      </c>
      <c r="O306" s="32">
        <v>0.30101443943648576</v>
      </c>
      <c r="P306" s="128">
        <f t="shared" si="30"/>
        <v>0.60731522632211821</v>
      </c>
      <c r="Q306" s="128">
        <f t="shared" si="31"/>
        <v>-5.6362903396340869E-3</v>
      </c>
      <c r="R306" s="128">
        <f t="shared" si="32"/>
        <v>0.30083946799124206</v>
      </c>
      <c r="S306" s="115">
        <v>0</v>
      </c>
      <c r="T306" s="99">
        <v>1</v>
      </c>
      <c r="U306" s="99">
        <v>1</v>
      </c>
      <c r="V306" s="99">
        <v>1</v>
      </c>
      <c r="W306" s="99">
        <v>0</v>
      </c>
      <c r="X306" t="s">
        <v>16</v>
      </c>
      <c r="AC306"/>
      <c r="AD306"/>
    </row>
    <row r="307" spans="1:30" x14ac:dyDescent="0.3">
      <c r="A307" s="4">
        <v>852</v>
      </c>
      <c r="B307" s="18">
        <v>-31.612266751201282</v>
      </c>
      <c r="C307" s="18">
        <v>-30.78109681251237</v>
      </c>
      <c r="D307" s="18">
        <v>-30.29938276685046</v>
      </c>
      <c r="E307" s="18">
        <v>-29.631661057216391</v>
      </c>
      <c r="F307" s="8"/>
      <c r="G307" s="8"/>
      <c r="H307" s="18">
        <v>-30.670345951820327</v>
      </c>
      <c r="I307" s="6"/>
      <c r="J307" s="4" t="s">
        <v>18</v>
      </c>
      <c r="K307" s="32">
        <f t="shared" si="29"/>
        <v>-30.581101846945124</v>
      </c>
      <c r="L307" s="32">
        <v>0.66772170963406907</v>
      </c>
      <c r="M307" s="32">
        <v>0.48171404566191001</v>
      </c>
      <c r="N307" s="32">
        <v>0.83116993868891242</v>
      </c>
      <c r="O307" s="32">
        <v>1.2311598698234008</v>
      </c>
      <c r="P307" s="128">
        <f t="shared" si="30"/>
        <v>1.3128839843508224</v>
      </c>
      <c r="Q307" s="128">
        <f t="shared" si="31"/>
        <v>0.48171404566191001</v>
      </c>
      <c r="R307" s="128">
        <f t="shared" si="32"/>
        <v>0.89729901500636444</v>
      </c>
      <c r="S307" s="115">
        <v>0</v>
      </c>
      <c r="T307" s="99">
        <v>0</v>
      </c>
      <c r="U307" s="99">
        <v>0</v>
      </c>
      <c r="V307" s="99">
        <v>0</v>
      </c>
      <c r="W307" s="99">
        <v>0</v>
      </c>
      <c r="X307" t="s">
        <v>16</v>
      </c>
      <c r="AC307"/>
      <c r="AD307"/>
    </row>
    <row r="308" spans="1:30" x14ac:dyDescent="0.3">
      <c r="A308" s="4">
        <v>853</v>
      </c>
      <c r="B308" s="18">
        <v>-31.053559715003267</v>
      </c>
      <c r="C308" s="18">
        <v>-31.270876825435806</v>
      </c>
      <c r="D308" s="18">
        <v>-30.334997550700496</v>
      </c>
      <c r="E308" s="18">
        <v>-30.318154216493248</v>
      </c>
      <c r="F308" s="8"/>
      <c r="G308" s="8"/>
      <c r="H308" s="18">
        <v>-29.450528586595983</v>
      </c>
      <c r="I308" s="6"/>
      <c r="J308" s="4" t="s">
        <v>18</v>
      </c>
      <c r="K308" s="32">
        <f t="shared" si="29"/>
        <v>-30.744397076908207</v>
      </c>
      <c r="L308" s="32">
        <v>1.6843334207248262E-2</v>
      </c>
      <c r="M308" s="32">
        <v>0.93587927473530996</v>
      </c>
      <c r="N308" s="32">
        <v>-0.2173171104325391</v>
      </c>
      <c r="O308" s="32">
        <v>0.83564238662266277</v>
      </c>
      <c r="P308" s="128">
        <f t="shared" si="30"/>
        <v>0.93587927473530996</v>
      </c>
      <c r="Q308" s="128">
        <f t="shared" si="31"/>
        <v>0.71856216430277087</v>
      </c>
      <c r="R308" s="128">
        <f t="shared" si="32"/>
        <v>0.82722071951904041</v>
      </c>
      <c r="S308" s="115">
        <v>0</v>
      </c>
      <c r="T308" s="99">
        <v>1</v>
      </c>
      <c r="U308" s="99">
        <v>1</v>
      </c>
      <c r="V308" s="99">
        <v>1</v>
      </c>
      <c r="W308" s="99">
        <v>0</v>
      </c>
      <c r="X308" t="s">
        <v>16</v>
      </c>
      <c r="AC308"/>
      <c r="AD308"/>
    </row>
    <row r="309" spans="1:30" x14ac:dyDescent="0.3">
      <c r="A309" s="4">
        <v>854</v>
      </c>
      <c r="B309" s="18">
        <v>-30.289023646321866</v>
      </c>
      <c r="C309" s="18">
        <v>-31.421294917462799</v>
      </c>
      <c r="D309" s="18">
        <v>-30.790091090545118</v>
      </c>
      <c r="E309" s="18">
        <v>-30.664263225213997</v>
      </c>
      <c r="F309" s="8"/>
      <c r="G309" s="8"/>
      <c r="H309" s="18">
        <v>-30.396017958770294</v>
      </c>
      <c r="I309" s="6"/>
      <c r="J309" s="4" t="s">
        <v>18</v>
      </c>
      <c r="K309" s="32">
        <f t="shared" si="29"/>
        <v>-30.791168219885947</v>
      </c>
      <c r="L309" s="32">
        <v>0.12582786533112156</v>
      </c>
      <c r="M309" s="32">
        <v>0.63120382691768029</v>
      </c>
      <c r="N309" s="32">
        <v>-1.1322712711409331</v>
      </c>
      <c r="O309" s="32">
        <v>0.12798212401277453</v>
      </c>
      <c r="P309" s="128">
        <f t="shared" si="30"/>
        <v>0.63120382691768029</v>
      </c>
      <c r="Q309" s="128">
        <f t="shared" si="31"/>
        <v>-0.50106744422325278</v>
      </c>
      <c r="R309" s="128">
        <f t="shared" si="32"/>
        <v>6.5068191347215532E-2</v>
      </c>
      <c r="S309" s="115">
        <v>0</v>
      </c>
      <c r="T309" s="99">
        <v>1</v>
      </c>
      <c r="U309" s="99">
        <v>1</v>
      </c>
      <c r="V309" s="99">
        <v>1</v>
      </c>
      <c r="W309" s="99">
        <v>0</v>
      </c>
      <c r="X309" t="s">
        <v>16</v>
      </c>
      <c r="AC309"/>
      <c r="AD309"/>
    </row>
    <row r="310" spans="1:30" x14ac:dyDescent="0.3">
      <c r="A310" s="4">
        <v>855</v>
      </c>
      <c r="B310" s="18">
        <v>-30.648944086191971</v>
      </c>
      <c r="C310" s="18">
        <v>-31.312982427529015</v>
      </c>
      <c r="D310" s="18">
        <v>-31.195406099839833</v>
      </c>
      <c r="E310" s="18">
        <v>-30.817976169304643</v>
      </c>
      <c r="F310" s="8"/>
      <c r="G310" s="8"/>
      <c r="H310" s="18">
        <v>-31.076957170253575</v>
      </c>
      <c r="I310" s="6"/>
      <c r="J310" s="4" t="s">
        <v>18</v>
      </c>
      <c r="K310" s="32">
        <f t="shared" si="29"/>
        <v>-30.993827195716364</v>
      </c>
      <c r="L310" s="32">
        <v>0.37742993053518958</v>
      </c>
      <c r="M310" s="32">
        <v>0.11757632768918214</v>
      </c>
      <c r="N310" s="32">
        <v>-0.66403834133704365</v>
      </c>
      <c r="O310" s="32">
        <v>-2.5727877711744895E-2</v>
      </c>
      <c r="P310" s="128">
        <f t="shared" si="30"/>
        <v>0.11757632768918214</v>
      </c>
      <c r="Q310" s="128">
        <f t="shared" si="31"/>
        <v>-0.54646201364786151</v>
      </c>
      <c r="R310" s="128">
        <f t="shared" si="32"/>
        <v>-0.21444284297934146</v>
      </c>
      <c r="S310" s="115">
        <v>0</v>
      </c>
      <c r="T310" s="99">
        <v>1</v>
      </c>
      <c r="U310" s="99">
        <v>1</v>
      </c>
      <c r="V310" s="99">
        <v>1</v>
      </c>
      <c r="W310" s="99">
        <v>0</v>
      </c>
      <c r="X310" t="s">
        <v>16</v>
      </c>
      <c r="AC310"/>
      <c r="AD310"/>
    </row>
    <row r="311" spans="1:30" x14ac:dyDescent="0.3">
      <c r="A311" s="4">
        <v>856</v>
      </c>
      <c r="B311" s="18">
        <v>-31.797861008166343</v>
      </c>
      <c r="C311" s="18">
        <v>-31.584447761194031</v>
      </c>
      <c r="D311" s="18">
        <v>-31.060715195454101</v>
      </c>
      <c r="E311" s="18">
        <v>-31.178370994719753</v>
      </c>
      <c r="F311" s="8"/>
      <c r="G311" s="8"/>
      <c r="H311" s="18">
        <v>-30.001567102449105</v>
      </c>
      <c r="I311" s="6"/>
      <c r="J311" s="4" t="s">
        <v>18</v>
      </c>
      <c r="K311" s="32">
        <f t="shared" si="29"/>
        <v>-31.405348739883557</v>
      </c>
      <c r="L311" s="32">
        <v>-0.11765579926565195</v>
      </c>
      <c r="M311" s="32">
        <v>0.52373256573993032</v>
      </c>
      <c r="N311" s="32">
        <v>0.21341324697231201</v>
      </c>
      <c r="O311" s="32">
        <v>0.5716112895932639</v>
      </c>
      <c r="P311" s="128">
        <f t="shared" si="30"/>
        <v>0.61949001344659038</v>
      </c>
      <c r="Q311" s="128">
        <f t="shared" si="31"/>
        <v>0.40607676647427837</v>
      </c>
      <c r="R311" s="128">
        <f t="shared" si="32"/>
        <v>0.51278338996043615</v>
      </c>
      <c r="S311" s="115">
        <v>0</v>
      </c>
      <c r="T311" s="99">
        <v>0</v>
      </c>
      <c r="U311" s="99">
        <v>0</v>
      </c>
      <c r="V311" s="99">
        <v>0</v>
      </c>
      <c r="W311" s="99">
        <v>0</v>
      </c>
      <c r="X311" t="s">
        <v>16</v>
      </c>
      <c r="AC311"/>
      <c r="AD311"/>
    </row>
    <row r="312" spans="1:30" x14ac:dyDescent="0.3">
      <c r="A312" s="4">
        <v>857</v>
      </c>
      <c r="B312" s="18">
        <v>-29.02345183824735</v>
      </c>
      <c r="C312" s="18">
        <v>-30.247701492537313</v>
      </c>
      <c r="D312" s="18">
        <v>-30.276846846398946</v>
      </c>
      <c r="E312" s="18">
        <v>-30.664512589399433</v>
      </c>
      <c r="F312" s="8"/>
      <c r="G312" s="8"/>
      <c r="H312" s="18">
        <v>-28.90578510778591</v>
      </c>
      <c r="I312" s="6"/>
      <c r="J312" s="4" t="s">
        <v>18</v>
      </c>
      <c r="K312" s="32">
        <f t="shared" si="29"/>
        <v>-30.053128191645762</v>
      </c>
      <c r="L312" s="32">
        <v>-0.38766574300048617</v>
      </c>
      <c r="M312" s="32">
        <v>-2.9145353861633083E-2</v>
      </c>
      <c r="N312" s="32">
        <v>-1.224249654289963</v>
      </c>
      <c r="O312" s="32">
        <v>-0.8351030525068559</v>
      </c>
      <c r="P312" s="128">
        <f t="shared" si="30"/>
        <v>-0.41681109686211926</v>
      </c>
      <c r="Q312" s="128">
        <f t="shared" si="31"/>
        <v>-1.6410607511520823</v>
      </c>
      <c r="R312" s="128">
        <f t="shared" si="32"/>
        <v>-1.0289359240071008</v>
      </c>
      <c r="S312" s="115">
        <v>0</v>
      </c>
      <c r="T312" s="99">
        <v>1</v>
      </c>
      <c r="U312" s="99">
        <v>1</v>
      </c>
      <c r="V312" s="99">
        <v>1</v>
      </c>
      <c r="W312" s="99">
        <v>0</v>
      </c>
      <c r="X312" t="s">
        <v>16</v>
      </c>
      <c r="AC312"/>
      <c r="AD312"/>
    </row>
    <row r="313" spans="1:30" x14ac:dyDescent="0.3">
      <c r="A313" s="4">
        <v>858</v>
      </c>
      <c r="B313" s="18">
        <v>-30.535243842445311</v>
      </c>
      <c r="C313" s="18">
        <v>-30.821353813180931</v>
      </c>
      <c r="D313" s="18">
        <v>-31.143093955128833</v>
      </c>
      <c r="E313" s="18">
        <v>-31.212841822177033</v>
      </c>
      <c r="F313" s="8"/>
      <c r="G313" s="8"/>
      <c r="H313" s="18">
        <v>-30.085727989737787</v>
      </c>
      <c r="I313" s="6"/>
      <c r="J313" s="4" t="s">
        <v>18</v>
      </c>
      <c r="K313" s="32">
        <f t="shared" si="29"/>
        <v>-30.928133358233026</v>
      </c>
      <c r="L313" s="32">
        <v>-6.9747867048199907E-2</v>
      </c>
      <c r="M313" s="32">
        <v>-0.32174014194790246</v>
      </c>
      <c r="N313" s="32">
        <v>-0.28610997073561961</v>
      </c>
      <c r="O313" s="32">
        <v>-0.49966906083981044</v>
      </c>
      <c r="P313" s="128">
        <f t="shared" si="30"/>
        <v>-0.39148800899610237</v>
      </c>
      <c r="Q313" s="128">
        <f t="shared" si="31"/>
        <v>-0.67759797973172198</v>
      </c>
      <c r="R313" s="128">
        <f t="shared" si="32"/>
        <v>-0.5345429943639104</v>
      </c>
      <c r="S313" s="115">
        <v>0</v>
      </c>
      <c r="T313" s="99">
        <v>1</v>
      </c>
      <c r="U313" s="99">
        <v>1</v>
      </c>
      <c r="V313" s="99">
        <v>1</v>
      </c>
      <c r="W313" s="99">
        <v>0</v>
      </c>
      <c r="X313" t="s">
        <v>16</v>
      </c>
      <c r="AC313"/>
      <c r="AD313"/>
    </row>
    <row r="314" spans="1:30" x14ac:dyDescent="0.3">
      <c r="A314" s="4">
        <v>859</v>
      </c>
      <c r="B314" s="18">
        <v>-30.70406036835962</v>
      </c>
      <c r="C314" s="18">
        <v>-31.666031600726342</v>
      </c>
      <c r="D314" s="18">
        <v>-31.131872896456144</v>
      </c>
      <c r="E314" s="18">
        <v>-31.225016828350821</v>
      </c>
      <c r="F314" s="8"/>
      <c r="G314" s="8"/>
      <c r="H314" s="18">
        <v>-30.979887701503351</v>
      </c>
      <c r="I314" s="6"/>
      <c r="J314" s="4" t="s">
        <v>18</v>
      </c>
      <c r="K314" s="32">
        <f t="shared" si="29"/>
        <v>-31.181745423473231</v>
      </c>
      <c r="L314" s="32">
        <v>-9.3143931894676513E-2</v>
      </c>
      <c r="M314" s="32">
        <v>0.5341587042701974</v>
      </c>
      <c r="N314" s="32">
        <v>-0.96197123236672155</v>
      </c>
      <c r="O314" s="32">
        <v>6.6011221395001485E-3</v>
      </c>
      <c r="P314" s="128">
        <f t="shared" si="30"/>
        <v>0.44101477237552089</v>
      </c>
      <c r="Q314" s="128">
        <f t="shared" si="31"/>
        <v>-0.52095645999120066</v>
      </c>
      <c r="R314" s="128">
        <f t="shared" si="32"/>
        <v>-3.9970843807839884E-2</v>
      </c>
      <c r="S314" s="115">
        <v>0</v>
      </c>
      <c r="T314" s="99">
        <v>1</v>
      </c>
      <c r="U314" s="99">
        <v>1</v>
      </c>
      <c r="V314" s="99">
        <v>1</v>
      </c>
      <c r="W314" s="99">
        <v>0</v>
      </c>
      <c r="X314" t="s">
        <v>16</v>
      </c>
      <c r="AC314"/>
      <c r="AD314"/>
    </row>
    <row r="315" spans="1:30" x14ac:dyDescent="0.3">
      <c r="A315" s="4">
        <v>860</v>
      </c>
      <c r="B315" s="18">
        <v>-30.4731963530222</v>
      </c>
      <c r="C315" s="18">
        <v>-31.667856744613168</v>
      </c>
      <c r="D315" s="18">
        <v>-30.619400411482317</v>
      </c>
      <c r="E315" s="18">
        <v>-29.541925343811396</v>
      </c>
      <c r="F315" s="8"/>
      <c r="G315" s="8"/>
      <c r="H315" s="18">
        <v>-31.012374842519019</v>
      </c>
      <c r="I315" s="6"/>
      <c r="J315" s="4" t="s">
        <v>18</v>
      </c>
      <c r="K315" s="32">
        <f t="shared" si="29"/>
        <v>-30.57559471323227</v>
      </c>
      <c r="L315" s="32">
        <v>1.077475067670921</v>
      </c>
      <c r="M315" s="32">
        <v>1.0484563331308507</v>
      </c>
      <c r="N315" s="32">
        <v>-1.1946603915909684</v>
      </c>
      <c r="O315" s="32">
        <v>0.98986367117082352</v>
      </c>
      <c r="P315" s="128">
        <f t="shared" si="30"/>
        <v>1.0484563331308507</v>
      </c>
      <c r="Q315" s="128">
        <f t="shared" si="31"/>
        <v>-0.14620405846011764</v>
      </c>
      <c r="R315" s="128">
        <f t="shared" si="32"/>
        <v>0.45112613733536477</v>
      </c>
      <c r="S315" s="115">
        <v>0</v>
      </c>
      <c r="T315" s="99">
        <v>1</v>
      </c>
      <c r="U315" s="99">
        <v>1</v>
      </c>
      <c r="V315" s="99">
        <v>1</v>
      </c>
      <c r="W315" s="99">
        <v>0</v>
      </c>
      <c r="X315" t="s">
        <v>16</v>
      </c>
      <c r="AC315"/>
      <c r="AD315"/>
    </row>
    <row r="316" spans="1:30" s="47" customFormat="1" x14ac:dyDescent="0.3">
      <c r="A316" s="40">
        <v>890</v>
      </c>
      <c r="B316" s="63">
        <v>-31.554432035306345</v>
      </c>
      <c r="C316" s="63">
        <v>-31.420698799614623</v>
      </c>
      <c r="D316" s="63">
        <v>-30.952733902442176</v>
      </c>
      <c r="E316" s="64"/>
      <c r="F316" s="64"/>
      <c r="G316" s="45"/>
      <c r="H316" s="63">
        <v>-31.752154574288607</v>
      </c>
      <c r="I316" s="43"/>
      <c r="J316" s="4" t="s">
        <v>18</v>
      </c>
      <c r="K316" s="46">
        <f t="shared" si="29"/>
        <v>-31.309288245787712</v>
      </c>
      <c r="L316" s="32">
        <v>30.952733902442176</v>
      </c>
      <c r="M316" s="32">
        <v>0.46796489717244683</v>
      </c>
      <c r="N316" s="32">
        <v>0.13373323569172157</v>
      </c>
      <c r="O316" s="32">
        <v>0.53483151501830761</v>
      </c>
      <c r="P316" s="128" t="str">
        <f t="shared" si="30"/>
        <v/>
      </c>
      <c r="Q316" s="128" t="str">
        <f t="shared" si="31"/>
        <v/>
      </c>
      <c r="R316" s="128" t="str">
        <f t="shared" si="32"/>
        <v/>
      </c>
      <c r="S316" s="118"/>
      <c r="T316" s="104">
        <v>0</v>
      </c>
      <c r="U316" s="104">
        <v>0</v>
      </c>
      <c r="V316" s="104">
        <v>0</v>
      </c>
      <c r="W316" s="104">
        <v>0</v>
      </c>
      <c r="Y316"/>
    </row>
    <row r="317" spans="1:30" s="47" customFormat="1" x14ac:dyDescent="0.3">
      <c r="A317" s="40">
        <v>891</v>
      </c>
      <c r="B317" s="45">
        <v>-31.917664972862578</v>
      </c>
      <c r="C317" s="45">
        <v>-32.118090921534424</v>
      </c>
      <c r="D317" s="45">
        <v>-31.435348057783536</v>
      </c>
      <c r="E317" s="45"/>
      <c r="F317" s="45"/>
      <c r="G317" s="45"/>
      <c r="H317" s="45">
        <v>-31.924581830090819</v>
      </c>
      <c r="I317" s="43"/>
      <c r="J317" s="4" t="s">
        <v>18</v>
      </c>
      <c r="K317" s="48">
        <f t="shared" si="29"/>
        <v>-31.82370131739351</v>
      </c>
      <c r="L317" s="32">
        <v>31.435348057783536</v>
      </c>
      <c r="M317" s="32">
        <v>0.68274286375088877</v>
      </c>
      <c r="N317" s="32">
        <v>-0.20042594867184604</v>
      </c>
      <c r="O317" s="32">
        <v>0.58252988941496398</v>
      </c>
      <c r="P317" s="128" t="str">
        <f t="shared" si="30"/>
        <v/>
      </c>
      <c r="Q317" s="128" t="str">
        <f t="shared" si="31"/>
        <v/>
      </c>
      <c r="R317" s="128" t="str">
        <f t="shared" si="32"/>
        <v/>
      </c>
      <c r="S317" s="118"/>
      <c r="T317" s="104">
        <v>1</v>
      </c>
      <c r="U317" s="104">
        <v>1</v>
      </c>
      <c r="V317" s="104">
        <v>1</v>
      </c>
      <c r="W317" s="104">
        <v>0</v>
      </c>
      <c r="Y317"/>
    </row>
    <row r="318" spans="1:30" s="47" customFormat="1" x14ac:dyDescent="0.3">
      <c r="A318" s="40">
        <v>892</v>
      </c>
      <c r="B318" s="45">
        <v>-32.1177086812949</v>
      </c>
      <c r="C318" s="45">
        <v>-32.780475839351553</v>
      </c>
      <c r="D318" s="45">
        <v>-30.842558917716772</v>
      </c>
      <c r="E318" s="45"/>
      <c r="F318" s="45"/>
      <c r="G318" s="45"/>
      <c r="H318" s="45">
        <v>-32.496142492827907</v>
      </c>
      <c r="I318" s="43"/>
      <c r="J318" s="4" t="s">
        <v>18</v>
      </c>
      <c r="K318" s="48">
        <f t="shared" si="29"/>
        <v>-31.913581146121075</v>
      </c>
      <c r="L318" s="32">
        <v>30.842558917716772</v>
      </c>
      <c r="M318" s="32">
        <v>1.9379169216347805</v>
      </c>
      <c r="N318" s="32">
        <v>-0.66276715805665276</v>
      </c>
      <c r="O318" s="32">
        <v>1.6065333426064541</v>
      </c>
      <c r="P318" s="128" t="str">
        <f t="shared" si="30"/>
        <v/>
      </c>
      <c r="Q318" s="128" t="str">
        <f t="shared" si="31"/>
        <v/>
      </c>
      <c r="R318" s="128" t="str">
        <f t="shared" si="32"/>
        <v/>
      </c>
      <c r="S318" s="118"/>
      <c r="T318" s="104">
        <v>0</v>
      </c>
      <c r="U318" s="104">
        <v>0</v>
      </c>
      <c r="V318" s="104">
        <v>0</v>
      </c>
      <c r="W318" s="104">
        <v>1</v>
      </c>
      <c r="Y318"/>
    </row>
    <row r="319" spans="1:30" s="47" customFormat="1" x14ac:dyDescent="0.3">
      <c r="A319" s="40">
        <v>893</v>
      </c>
      <c r="B319" s="45">
        <v>-31.442929742197784</v>
      </c>
      <c r="C319" s="45">
        <v>-30.408774755240827</v>
      </c>
      <c r="D319" s="45">
        <v>-30.220288217855376</v>
      </c>
      <c r="E319" s="45"/>
      <c r="F319" s="45"/>
      <c r="G319" s="45"/>
      <c r="H319" s="45">
        <v>-32.212476059229893</v>
      </c>
      <c r="I319" s="43"/>
      <c r="J319" s="4" t="s">
        <v>18</v>
      </c>
      <c r="K319" s="48">
        <f t="shared" si="29"/>
        <v>-30.690664238431328</v>
      </c>
      <c r="L319" s="32">
        <v>30.220288217855376</v>
      </c>
      <c r="M319" s="32">
        <v>0.18848653738545096</v>
      </c>
      <c r="N319" s="32">
        <v>1.0341549869569562</v>
      </c>
      <c r="O319" s="32">
        <v>0.70556403086392905</v>
      </c>
      <c r="P319" s="128" t="str">
        <f t="shared" si="30"/>
        <v/>
      </c>
      <c r="Q319" s="128" t="str">
        <f t="shared" si="31"/>
        <v/>
      </c>
      <c r="R319" s="128" t="str">
        <f t="shared" si="32"/>
        <v/>
      </c>
      <c r="S319" s="118"/>
      <c r="T319" s="104">
        <v>0</v>
      </c>
      <c r="U319" s="104">
        <v>0</v>
      </c>
      <c r="V319" s="104">
        <v>0</v>
      </c>
      <c r="W319" s="104">
        <v>0</v>
      </c>
      <c r="Y319"/>
    </row>
    <row r="320" spans="1:30" s="47" customFormat="1" x14ac:dyDescent="0.3">
      <c r="A320" s="40">
        <v>894</v>
      </c>
      <c r="B320" s="45">
        <v>-31.473962419376498</v>
      </c>
      <c r="C320" s="45">
        <v>-32.466994395594554</v>
      </c>
      <c r="D320" s="45">
        <v>-30.990852890212004</v>
      </c>
      <c r="E320" s="45"/>
      <c r="F320" s="45"/>
      <c r="G320" s="45"/>
      <c r="H320" s="45">
        <v>-31.984163246313457</v>
      </c>
      <c r="I320" s="43"/>
      <c r="J320" s="4" t="s">
        <v>18</v>
      </c>
      <c r="K320" s="48">
        <f t="shared" si="29"/>
        <v>-31.643936568394352</v>
      </c>
      <c r="L320" s="32">
        <v>30.990852890212004</v>
      </c>
      <c r="M320" s="32">
        <v>1.4761415053825502</v>
      </c>
      <c r="N320" s="32">
        <v>-0.99303197621805595</v>
      </c>
      <c r="O320" s="32">
        <v>0.97962551727352221</v>
      </c>
      <c r="P320" s="128" t="str">
        <f t="shared" si="30"/>
        <v/>
      </c>
      <c r="Q320" s="128" t="str">
        <f t="shared" si="31"/>
        <v/>
      </c>
      <c r="R320" s="128" t="str">
        <f t="shared" si="32"/>
        <v/>
      </c>
      <c r="S320" s="118"/>
      <c r="T320" s="104">
        <v>1</v>
      </c>
      <c r="U320" s="104">
        <v>1</v>
      </c>
      <c r="V320" s="104">
        <v>1</v>
      </c>
      <c r="W320" s="104">
        <v>0</v>
      </c>
      <c r="Y320"/>
    </row>
    <row r="321" spans="1:30" s="47" customFormat="1" x14ac:dyDescent="0.3">
      <c r="A321" s="40">
        <v>895</v>
      </c>
      <c r="B321" s="45">
        <v>-31.207325338678789</v>
      </c>
      <c r="C321" s="45">
        <v>-31.778333235829589</v>
      </c>
      <c r="D321" s="45">
        <v>-30.196121175588466</v>
      </c>
      <c r="E321" s="45"/>
      <c r="F321" s="45"/>
      <c r="G321" s="45"/>
      <c r="H321" s="45">
        <v>-31.640692539857547</v>
      </c>
      <c r="I321" s="43"/>
      <c r="J321" s="4" t="s">
        <v>18</v>
      </c>
      <c r="K321" s="48">
        <f t="shared" si="29"/>
        <v>-31.06059325003228</v>
      </c>
      <c r="L321" s="32">
        <v>30.196121175588466</v>
      </c>
      <c r="M321" s="32">
        <v>1.5822120602411225</v>
      </c>
      <c r="N321" s="32">
        <v>-0.57100789715079969</v>
      </c>
      <c r="O321" s="32">
        <v>1.2967081116657226</v>
      </c>
      <c r="P321" s="128" t="str">
        <f t="shared" si="30"/>
        <v/>
      </c>
      <c r="Q321" s="128" t="str">
        <f t="shared" si="31"/>
        <v/>
      </c>
      <c r="R321" s="128" t="str">
        <f t="shared" si="32"/>
        <v/>
      </c>
      <c r="S321" s="118"/>
      <c r="T321" s="104"/>
      <c r="U321" s="104"/>
      <c r="V321" s="104"/>
      <c r="W321" s="104"/>
      <c r="Y321"/>
    </row>
    <row r="322" spans="1:30" s="47" customFormat="1" x14ac:dyDescent="0.3">
      <c r="A322" s="40">
        <v>896</v>
      </c>
      <c r="B322" s="45">
        <v>-30.605424561353264</v>
      </c>
      <c r="C322" s="45">
        <v>-31.262656629441587</v>
      </c>
      <c r="D322" s="45">
        <v>-30.651817407258697</v>
      </c>
      <c r="E322" s="45"/>
      <c r="F322" s="45"/>
      <c r="G322" s="45"/>
      <c r="H322" s="45">
        <v>-30.741609288241847</v>
      </c>
      <c r="I322" s="43"/>
      <c r="J322" s="4" t="s">
        <v>18</v>
      </c>
      <c r="K322" s="48">
        <f t="shared" ref="K322:K385" si="33">AVERAGE(B322:G322)</f>
        <v>-30.839966199351181</v>
      </c>
      <c r="L322" s="32">
        <v>30.651817407258697</v>
      </c>
      <c r="M322" s="32">
        <v>0.61083922218288933</v>
      </c>
      <c r="N322" s="32">
        <v>-0.65723206808832302</v>
      </c>
      <c r="O322" s="32">
        <v>0.2822231881387296</v>
      </c>
      <c r="P322" s="128" t="str">
        <f t="shared" si="30"/>
        <v/>
      </c>
      <c r="Q322" s="128" t="str">
        <f t="shared" si="31"/>
        <v/>
      </c>
      <c r="R322" s="128" t="str">
        <f t="shared" si="32"/>
        <v/>
      </c>
      <c r="S322" s="118"/>
      <c r="T322" s="104">
        <v>1</v>
      </c>
      <c r="U322" s="104">
        <v>1</v>
      </c>
      <c r="V322" s="104">
        <v>1</v>
      </c>
      <c r="W322" s="104">
        <v>0</v>
      </c>
      <c r="Y322"/>
    </row>
    <row r="323" spans="1:30" s="47" customFormat="1" x14ac:dyDescent="0.3">
      <c r="A323" s="40">
        <v>897</v>
      </c>
      <c r="B323" s="45">
        <v>-30.544697851585887</v>
      </c>
      <c r="C323" s="45">
        <v>-28.894289103419027</v>
      </c>
      <c r="D323" s="45">
        <v>-29.353947621349295</v>
      </c>
      <c r="E323" s="45"/>
      <c r="F323" s="45"/>
      <c r="G323" s="45"/>
      <c r="H323" s="45">
        <v>-29.254503661149656</v>
      </c>
      <c r="I323" s="43"/>
      <c r="J323" s="4" t="s">
        <v>18</v>
      </c>
      <c r="K323" s="48">
        <f t="shared" si="33"/>
        <v>-29.597644858784736</v>
      </c>
      <c r="L323" s="32">
        <v>29.353947621349295</v>
      </c>
      <c r="M323" s="32">
        <v>-0.45965851793026857</v>
      </c>
      <c r="N323" s="32">
        <v>1.6504087481668606</v>
      </c>
      <c r="O323" s="32">
        <v>0.36554585615316171</v>
      </c>
      <c r="P323" s="128" t="str">
        <f t="shared" ref="P323:P386" si="34">IF(OR(E323="", D323="", B323="", C323=""), "", MIN(E323,D323)-MIN(B323,C323))</f>
        <v/>
      </c>
      <c r="Q323" s="128" t="str">
        <f t="shared" ref="Q323:Q386" si="35">IF(OR(E323="", D323="", B323="", C323=""), "", MIN(E323,D323)-MAX(B323,C323))</f>
        <v/>
      </c>
      <c r="R323" s="128" t="str">
        <f t="shared" ref="R323:R386" si="36">IF(OR(E323="", D323="", B323="", C323=""), "", MIN(E323,D323)-AVERAGE(B323,C323))</f>
        <v/>
      </c>
      <c r="S323" s="118"/>
      <c r="T323" s="104">
        <v>0</v>
      </c>
      <c r="U323" s="104">
        <v>0</v>
      </c>
      <c r="V323" s="104">
        <v>0</v>
      </c>
      <c r="W323" s="104">
        <v>0</v>
      </c>
      <c r="Y323"/>
    </row>
    <row r="324" spans="1:30" x14ac:dyDescent="0.3">
      <c r="A324" s="4">
        <v>898</v>
      </c>
      <c r="B324" s="18">
        <v>-31.483295253124204</v>
      </c>
      <c r="C324" s="18">
        <v>-32.076634463088993</v>
      </c>
      <c r="D324" s="18">
        <v>-30.879354719966948</v>
      </c>
      <c r="E324" s="18">
        <v>-30.383253716051975</v>
      </c>
      <c r="F324" s="21"/>
      <c r="G324" s="8"/>
      <c r="H324" s="18">
        <v>-31.310894094578515</v>
      </c>
      <c r="I324" s="6"/>
      <c r="J324" s="4" t="s">
        <v>18</v>
      </c>
      <c r="K324" s="32">
        <f t="shared" si="33"/>
        <v>-31.205634538058028</v>
      </c>
      <c r="L324" s="32">
        <v>0.49610100391497269</v>
      </c>
      <c r="M324" s="32">
        <v>1.1972797431220457</v>
      </c>
      <c r="N324" s="32">
        <v>-0.59333920996478895</v>
      </c>
      <c r="O324" s="32">
        <v>1.1486606400971375</v>
      </c>
      <c r="P324" s="128">
        <f t="shared" si="34"/>
        <v>1.1972797431220457</v>
      </c>
      <c r="Q324" s="128">
        <f t="shared" si="35"/>
        <v>0.60394053315725671</v>
      </c>
      <c r="R324" s="128">
        <f t="shared" si="36"/>
        <v>0.90061013813965118</v>
      </c>
      <c r="S324" s="115">
        <v>0</v>
      </c>
      <c r="T324" s="99">
        <v>1</v>
      </c>
      <c r="U324" s="99">
        <v>1</v>
      </c>
      <c r="V324" s="99">
        <v>1</v>
      </c>
      <c r="W324" s="99">
        <v>0</v>
      </c>
      <c r="X324" t="s">
        <v>16</v>
      </c>
      <c r="AC324"/>
      <c r="AD324"/>
    </row>
    <row r="325" spans="1:30" x14ac:dyDescent="0.3">
      <c r="A325" s="4">
        <v>899</v>
      </c>
      <c r="B325" s="18">
        <v>-32.631137767652916</v>
      </c>
      <c r="C325" s="18">
        <v>-32.534584850810788</v>
      </c>
      <c r="D325" s="18">
        <v>-31.25291871880475</v>
      </c>
      <c r="E325" s="18">
        <v>-31.763207839794418</v>
      </c>
      <c r="F325" s="21"/>
      <c r="G325" s="8"/>
      <c r="H325" s="18">
        <v>-32.270236926404692</v>
      </c>
      <c r="I325" s="6"/>
      <c r="J325" s="4" t="s">
        <v>18</v>
      </c>
      <c r="K325" s="32">
        <f t="shared" si="33"/>
        <v>-32.045462294265718</v>
      </c>
      <c r="L325" s="32">
        <v>-0.51028912098966828</v>
      </c>
      <c r="M325" s="32">
        <v>1.2816661320060376</v>
      </c>
      <c r="N325" s="32">
        <v>9.6552916842128411E-2</v>
      </c>
      <c r="O325" s="32">
        <v>1.0747980299322677</v>
      </c>
      <c r="P325" s="128">
        <f t="shared" si="34"/>
        <v>0.86792992785849776</v>
      </c>
      <c r="Q325" s="128">
        <f t="shared" si="35"/>
        <v>0.77137701101636935</v>
      </c>
      <c r="R325" s="128">
        <f t="shared" si="36"/>
        <v>0.81965346943743356</v>
      </c>
      <c r="S325" s="115">
        <v>0</v>
      </c>
      <c r="T325" s="99">
        <v>0</v>
      </c>
      <c r="U325" s="99">
        <v>0</v>
      </c>
      <c r="V325" s="99">
        <v>0</v>
      </c>
      <c r="W325" s="99">
        <v>0</v>
      </c>
      <c r="X325" t="s">
        <v>16</v>
      </c>
      <c r="AC325"/>
      <c r="AD325"/>
    </row>
    <row r="326" spans="1:30" x14ac:dyDescent="0.3">
      <c r="A326" s="4">
        <v>900</v>
      </c>
      <c r="B326" s="18">
        <v>-32.004798958569907</v>
      </c>
      <c r="C326" s="18">
        <v>-32.344539797838017</v>
      </c>
      <c r="D326" s="18">
        <v>-31.868945084308226</v>
      </c>
      <c r="E326" s="18">
        <v>-31.449407761504361</v>
      </c>
      <c r="F326" s="21"/>
      <c r="G326" s="8"/>
      <c r="H326" s="18">
        <v>-32.243948025391411</v>
      </c>
      <c r="I326" s="6"/>
      <c r="J326" s="4" t="s">
        <v>18</v>
      </c>
      <c r="K326" s="32">
        <f t="shared" si="33"/>
        <v>-31.916922900555125</v>
      </c>
      <c r="L326" s="32">
        <v>0.41953732280386546</v>
      </c>
      <c r="M326" s="32">
        <v>0.47559471352979088</v>
      </c>
      <c r="N326" s="32">
        <v>-0.33974083926811005</v>
      </c>
      <c r="O326" s="32">
        <v>0.51549295529766681</v>
      </c>
      <c r="P326" s="128">
        <f t="shared" si="34"/>
        <v>0.47559471352979088</v>
      </c>
      <c r="Q326" s="128">
        <f t="shared" si="35"/>
        <v>0.13585387426168083</v>
      </c>
      <c r="R326" s="128">
        <f t="shared" si="36"/>
        <v>0.3057242938957323</v>
      </c>
      <c r="S326" s="115">
        <v>0</v>
      </c>
      <c r="T326" s="115">
        <v>1</v>
      </c>
      <c r="U326" s="115">
        <v>1</v>
      </c>
      <c r="V326" s="99">
        <v>1</v>
      </c>
      <c r="W326" s="99">
        <v>0</v>
      </c>
      <c r="X326" t="s">
        <v>16</v>
      </c>
      <c r="AC326"/>
      <c r="AD326"/>
    </row>
    <row r="327" spans="1:30" x14ac:dyDescent="0.3">
      <c r="A327" s="4">
        <v>901</v>
      </c>
      <c r="B327" s="18">
        <v>-33.436766401434475</v>
      </c>
      <c r="C327" s="18">
        <v>-32.503098815536312</v>
      </c>
      <c r="D327" s="18">
        <v>-31.451174004383169</v>
      </c>
      <c r="E327" s="18">
        <v>-29.559487506554085</v>
      </c>
      <c r="F327" s="21"/>
      <c r="G327" s="8"/>
      <c r="H327" s="18">
        <v>-31.937709420998932</v>
      </c>
      <c r="I327" s="6"/>
      <c r="J327" s="4" t="s">
        <v>18</v>
      </c>
      <c r="K327" s="32">
        <f t="shared" si="33"/>
        <v>-31.737631681977014</v>
      </c>
      <c r="L327" s="32">
        <v>1.8916864978290846</v>
      </c>
      <c r="M327" s="32">
        <v>1.0519248111531425</v>
      </c>
      <c r="N327" s="32">
        <v>0.93366758589816357</v>
      </c>
      <c r="O327" s="32">
        <v>2.4646018530167666</v>
      </c>
      <c r="P327" s="128">
        <f t="shared" si="34"/>
        <v>1.9855923970513061</v>
      </c>
      <c r="Q327" s="128">
        <f t="shared" si="35"/>
        <v>1.0519248111531425</v>
      </c>
      <c r="R327" s="128">
        <f t="shared" si="36"/>
        <v>1.5187586041022243</v>
      </c>
      <c r="S327" s="115">
        <v>0</v>
      </c>
      <c r="T327" s="99">
        <v>0</v>
      </c>
      <c r="U327" s="99">
        <v>0</v>
      </c>
      <c r="V327" s="99">
        <v>0</v>
      </c>
      <c r="W327" s="99">
        <v>1</v>
      </c>
      <c r="X327" t="s">
        <v>17</v>
      </c>
      <c r="AC327"/>
      <c r="AD327"/>
    </row>
    <row r="328" spans="1:30" x14ac:dyDescent="0.3">
      <c r="A328" s="4">
        <v>902</v>
      </c>
      <c r="B328" s="18">
        <v>-31.779402514154036</v>
      </c>
      <c r="C328" s="18">
        <v>-32.227566754623098</v>
      </c>
      <c r="D328" s="18">
        <v>-31.609948831149794</v>
      </c>
      <c r="E328" s="18">
        <v>-30.79419314353693</v>
      </c>
      <c r="F328" s="21"/>
      <c r="G328" s="8"/>
      <c r="H328" s="18">
        <v>-31.287229190266768</v>
      </c>
      <c r="I328" s="6"/>
      <c r="J328" s="4" t="s">
        <v>18</v>
      </c>
      <c r="K328" s="32">
        <f t="shared" si="33"/>
        <v>-31.602777810865966</v>
      </c>
      <c r="L328" s="32">
        <v>0.81575568761286377</v>
      </c>
      <c r="M328" s="32">
        <v>0.61761792347330413</v>
      </c>
      <c r="N328" s="32">
        <v>-0.44816424046906178</v>
      </c>
      <c r="O328" s="32">
        <v>0.80141364704520868</v>
      </c>
      <c r="P328" s="128">
        <f t="shared" si="34"/>
        <v>0.61761792347330413</v>
      </c>
      <c r="Q328" s="128">
        <f t="shared" si="35"/>
        <v>0.16945368300424235</v>
      </c>
      <c r="R328" s="128">
        <f t="shared" si="36"/>
        <v>0.39353580323877679</v>
      </c>
      <c r="S328" s="115">
        <v>0</v>
      </c>
      <c r="T328" s="99">
        <v>1</v>
      </c>
      <c r="U328" s="99">
        <v>1</v>
      </c>
      <c r="V328" s="99">
        <v>1</v>
      </c>
      <c r="W328" s="99">
        <v>0</v>
      </c>
      <c r="X328" t="s">
        <v>16</v>
      </c>
      <c r="AC328"/>
      <c r="AD328"/>
    </row>
    <row r="329" spans="1:30" x14ac:dyDescent="0.3">
      <c r="A329" s="4">
        <v>903</v>
      </c>
      <c r="B329" s="18">
        <v>-31.097791940366982</v>
      </c>
      <c r="C329" s="18">
        <v>-31.307039816409812</v>
      </c>
      <c r="D329" s="18">
        <v>-30.864274485902659</v>
      </c>
      <c r="E329" s="18">
        <v>-30.106600699132215</v>
      </c>
      <c r="F329" s="21"/>
      <c r="G329" s="8"/>
      <c r="H329" s="18">
        <v>-30.815006369296846</v>
      </c>
      <c r="I329" s="6"/>
      <c r="J329" s="4" t="s">
        <v>18</v>
      </c>
      <c r="K329" s="32">
        <f t="shared" si="33"/>
        <v>-30.843926735452918</v>
      </c>
      <c r="L329" s="32">
        <v>0.75767378677044306</v>
      </c>
      <c r="M329" s="32">
        <v>0.44276533050715372</v>
      </c>
      <c r="N329" s="32">
        <v>-0.20924787604283068</v>
      </c>
      <c r="O329" s="32">
        <v>0.71697828587096168</v>
      </c>
      <c r="P329" s="128">
        <f t="shared" si="34"/>
        <v>0.44276533050715372</v>
      </c>
      <c r="Q329" s="128">
        <f t="shared" si="35"/>
        <v>0.23351745446432304</v>
      </c>
      <c r="R329" s="128">
        <f t="shared" si="36"/>
        <v>0.33814139248573838</v>
      </c>
      <c r="S329" s="115">
        <v>0</v>
      </c>
      <c r="T329" s="99">
        <v>1</v>
      </c>
      <c r="U329" s="99">
        <v>1</v>
      </c>
      <c r="V329" s="99">
        <v>1</v>
      </c>
      <c r="W329" s="99">
        <v>0</v>
      </c>
      <c r="X329" t="s">
        <v>16</v>
      </c>
      <c r="AC329"/>
      <c r="AD329"/>
    </row>
    <row r="330" spans="1:30" x14ac:dyDescent="0.3">
      <c r="A330" s="4">
        <v>904</v>
      </c>
      <c r="B330" s="18">
        <v>-30.441491062862518</v>
      </c>
      <c r="C330" s="18">
        <v>-30.902151485473759</v>
      </c>
      <c r="D330" s="18">
        <v>-30.051682833085952</v>
      </c>
      <c r="E330" s="18">
        <v>-29.567412291140492</v>
      </c>
      <c r="F330" s="21"/>
      <c r="G330" s="8"/>
      <c r="H330" s="18">
        <v>-30.160876748483737</v>
      </c>
      <c r="I330" s="6"/>
      <c r="J330" s="4" t="s">
        <v>18</v>
      </c>
      <c r="K330" s="32">
        <f t="shared" si="33"/>
        <v>-30.240684418140681</v>
      </c>
      <c r="L330" s="32">
        <v>0.4842705419454596</v>
      </c>
      <c r="M330" s="32">
        <v>0.85046865238780711</v>
      </c>
      <c r="N330" s="32">
        <v>-0.46066042261124096</v>
      </c>
      <c r="O330" s="32">
        <v>0.86227371205491465</v>
      </c>
      <c r="P330" s="128">
        <f t="shared" si="34"/>
        <v>0.85046865238780711</v>
      </c>
      <c r="Q330" s="128">
        <f t="shared" si="35"/>
        <v>0.38980822977656615</v>
      </c>
      <c r="R330" s="128">
        <f t="shared" si="36"/>
        <v>0.62013844108218663</v>
      </c>
      <c r="S330" s="115">
        <v>0</v>
      </c>
      <c r="T330" s="99">
        <v>1</v>
      </c>
      <c r="U330" s="99">
        <v>1</v>
      </c>
      <c r="V330" s="99">
        <v>1</v>
      </c>
      <c r="W330" s="99">
        <v>0</v>
      </c>
      <c r="X330" t="s">
        <v>16</v>
      </c>
      <c r="AC330"/>
      <c r="AD330"/>
    </row>
    <row r="331" spans="1:30" x14ac:dyDescent="0.3">
      <c r="A331" s="4">
        <v>905</v>
      </c>
      <c r="B331" s="18">
        <v>-30.61062195643715</v>
      </c>
      <c r="C331" s="18">
        <v>-30.487720043300349</v>
      </c>
      <c r="D331" s="18">
        <v>-29.148282603282702</v>
      </c>
      <c r="E331" s="18">
        <v>-30.901262651054971</v>
      </c>
      <c r="F331" s="21"/>
      <c r="G331" s="8"/>
      <c r="H331" s="18">
        <v>-30.548302476676263</v>
      </c>
      <c r="I331" s="6"/>
      <c r="J331" s="4" t="s">
        <v>18</v>
      </c>
      <c r="K331" s="32">
        <f t="shared" si="33"/>
        <v>-30.28697181351879</v>
      </c>
      <c r="L331" s="32">
        <v>-1.7529800477722688</v>
      </c>
      <c r="M331" s="32">
        <v>1.3394374400176474</v>
      </c>
      <c r="N331" s="32">
        <v>0.12290191313680054</v>
      </c>
      <c r="O331" s="32">
        <v>0.5243983726999133</v>
      </c>
      <c r="P331" s="128">
        <f t="shared" si="34"/>
        <v>-0.29064069461782083</v>
      </c>
      <c r="Q331" s="128">
        <f t="shared" si="35"/>
        <v>-0.41354260775462137</v>
      </c>
      <c r="R331" s="128">
        <f t="shared" si="36"/>
        <v>-0.3520916511862211</v>
      </c>
      <c r="S331" s="115">
        <v>0</v>
      </c>
      <c r="T331" s="99">
        <v>0</v>
      </c>
      <c r="U331" s="99">
        <v>0</v>
      </c>
      <c r="V331" s="99">
        <v>0</v>
      </c>
      <c r="W331" s="99">
        <v>0</v>
      </c>
      <c r="X331" t="s">
        <v>16</v>
      </c>
      <c r="AC331"/>
      <c r="AD331"/>
    </row>
    <row r="332" spans="1:30" s="47" customFormat="1" x14ac:dyDescent="0.3">
      <c r="A332" s="40">
        <v>906</v>
      </c>
      <c r="B332" s="63">
        <v>-31.051844674208436</v>
      </c>
      <c r="C332" s="63">
        <v>-31.974654717055749</v>
      </c>
      <c r="D332" s="63">
        <v>-30.970732536375412</v>
      </c>
      <c r="E332" s="45"/>
      <c r="F332" s="45"/>
      <c r="G332" s="45"/>
      <c r="H332" s="63">
        <v>-29.291374137007541</v>
      </c>
      <c r="I332" s="43"/>
      <c r="J332" s="4" t="s">
        <v>18</v>
      </c>
      <c r="K332" s="46">
        <f t="shared" si="33"/>
        <v>-31.332410642546531</v>
      </c>
      <c r="L332" s="32">
        <v>30.970732536375412</v>
      </c>
      <c r="M332" s="32">
        <v>1.0039221806803376</v>
      </c>
      <c r="N332" s="32">
        <v>-0.92281004284731338</v>
      </c>
      <c r="O332" s="32">
        <v>0.54251715925667909</v>
      </c>
      <c r="P332" s="128" t="str">
        <f t="shared" si="34"/>
        <v/>
      </c>
      <c r="Q332" s="128" t="str">
        <f t="shared" si="35"/>
        <v/>
      </c>
      <c r="R332" s="128" t="str">
        <f t="shared" si="36"/>
        <v/>
      </c>
      <c r="S332" s="118"/>
      <c r="T332" s="104">
        <v>1</v>
      </c>
      <c r="U332" s="104">
        <v>1</v>
      </c>
      <c r="V332" s="104">
        <v>1</v>
      </c>
      <c r="W332" s="104">
        <v>0</v>
      </c>
      <c r="Y332"/>
    </row>
    <row r="333" spans="1:30" s="47" customFormat="1" x14ac:dyDescent="0.3">
      <c r="A333" s="40">
        <v>907</v>
      </c>
      <c r="B333" s="63">
        <v>-31.314184086660738</v>
      </c>
      <c r="C333" s="63">
        <v>-31.901255967409227</v>
      </c>
      <c r="D333" s="63">
        <v>-30.773899550491599</v>
      </c>
      <c r="E333" s="45"/>
      <c r="F333" s="45"/>
      <c r="G333" s="45"/>
      <c r="H333" s="63">
        <v>-30.114497173308244</v>
      </c>
      <c r="I333" s="43"/>
      <c r="J333" s="4" t="s">
        <v>18</v>
      </c>
      <c r="K333" s="46">
        <f t="shared" si="33"/>
        <v>-31.329779868187188</v>
      </c>
      <c r="L333" s="32">
        <v>30.773899550491599</v>
      </c>
      <c r="M333" s="32">
        <v>1.1273564169176282</v>
      </c>
      <c r="N333" s="32">
        <v>-0.58707188074848915</v>
      </c>
      <c r="O333" s="32">
        <v>0.83382047654338365</v>
      </c>
      <c r="P333" s="128" t="str">
        <f t="shared" si="34"/>
        <v/>
      </c>
      <c r="Q333" s="128" t="str">
        <f t="shared" si="35"/>
        <v/>
      </c>
      <c r="R333" s="128" t="str">
        <f t="shared" si="36"/>
        <v/>
      </c>
      <c r="S333" s="118"/>
      <c r="T333" s="104">
        <v>1</v>
      </c>
      <c r="U333" s="104">
        <v>1</v>
      </c>
      <c r="V333" s="104">
        <v>1</v>
      </c>
      <c r="W333" s="104">
        <v>0</v>
      </c>
      <c r="Y333"/>
    </row>
    <row r="334" spans="1:30" s="47" customFormat="1" x14ac:dyDescent="0.3">
      <c r="A334" s="40">
        <v>908</v>
      </c>
      <c r="B334" s="63">
        <v>-30.76401185571974</v>
      </c>
      <c r="C334" s="63">
        <v>-31.943446652441047</v>
      </c>
      <c r="D334" s="63">
        <v>-30.190365027563914</v>
      </c>
      <c r="E334" s="64"/>
      <c r="F334" s="64"/>
      <c r="G334" s="45"/>
      <c r="H334" s="63">
        <v>-29.537888579983708</v>
      </c>
      <c r="I334" s="43"/>
      <c r="J334" s="4" t="s">
        <v>18</v>
      </c>
      <c r="K334" s="46">
        <f t="shared" si="33"/>
        <v>-30.965941178574898</v>
      </c>
      <c r="L334" s="32">
        <v>30.190365027563914</v>
      </c>
      <c r="M334" s="32">
        <v>1.753081624877133</v>
      </c>
      <c r="N334" s="32">
        <v>-1.1794347967213064</v>
      </c>
      <c r="O334" s="32">
        <v>1.1633642265164781</v>
      </c>
      <c r="P334" s="128" t="str">
        <f t="shared" si="34"/>
        <v/>
      </c>
      <c r="Q334" s="128" t="str">
        <f t="shared" si="35"/>
        <v/>
      </c>
      <c r="R334" s="128" t="str">
        <f t="shared" si="36"/>
        <v/>
      </c>
      <c r="S334" s="118"/>
      <c r="T334" s="104">
        <v>1</v>
      </c>
      <c r="U334" s="104">
        <v>1</v>
      </c>
      <c r="V334" s="104">
        <v>1</v>
      </c>
      <c r="W334" s="104">
        <v>0</v>
      </c>
      <c r="Y334"/>
    </row>
    <row r="335" spans="1:30" s="47" customFormat="1" x14ac:dyDescent="0.3">
      <c r="A335" s="40">
        <v>909</v>
      </c>
      <c r="B335" s="63">
        <v>-31.411453201298137</v>
      </c>
      <c r="C335" s="63">
        <v>-31.49083668805045</v>
      </c>
      <c r="D335" s="63">
        <v>-30.56668942695056</v>
      </c>
      <c r="E335" s="64"/>
      <c r="F335" s="64"/>
      <c r="G335" s="45"/>
      <c r="H335" s="63">
        <v>-30.774620840682033</v>
      </c>
      <c r="I335" s="43"/>
      <c r="J335" s="4" t="s">
        <v>18</v>
      </c>
      <c r="K335" s="46">
        <f t="shared" si="33"/>
        <v>-31.156326438766381</v>
      </c>
      <c r="L335" s="32">
        <v>30.56668942695056</v>
      </c>
      <c r="M335" s="32">
        <v>0.92414726109988976</v>
      </c>
      <c r="N335" s="32">
        <v>-7.9383486752313104E-2</v>
      </c>
      <c r="O335" s="32">
        <v>0.88445551772373321</v>
      </c>
      <c r="P335" s="128" t="str">
        <f t="shared" si="34"/>
        <v/>
      </c>
      <c r="Q335" s="128" t="str">
        <f t="shared" si="35"/>
        <v/>
      </c>
      <c r="R335" s="128" t="str">
        <f t="shared" si="36"/>
        <v/>
      </c>
      <c r="S335" s="118"/>
      <c r="T335" s="104">
        <v>1</v>
      </c>
      <c r="U335" s="104">
        <v>1</v>
      </c>
      <c r="V335" s="104">
        <v>1</v>
      </c>
      <c r="W335" s="104">
        <v>0</v>
      </c>
      <c r="Y335"/>
    </row>
    <row r="336" spans="1:30" s="47" customFormat="1" x14ac:dyDescent="0.3">
      <c r="A336" s="40">
        <v>910</v>
      </c>
      <c r="B336" s="63">
        <v>-30.226789857756962</v>
      </c>
      <c r="C336" s="63">
        <v>-30.730033638279007</v>
      </c>
      <c r="D336" s="63">
        <v>-30.809627232338755</v>
      </c>
      <c r="E336" s="64"/>
      <c r="F336" s="64"/>
      <c r="G336" s="45"/>
      <c r="H336" s="63">
        <v>-29.730057575345693</v>
      </c>
      <c r="I336" s="43"/>
      <c r="J336" s="4" t="s">
        <v>18</v>
      </c>
      <c r="K336" s="46">
        <f t="shared" si="33"/>
        <v>-30.588816909458242</v>
      </c>
      <c r="L336" s="32">
        <v>30.809627232338755</v>
      </c>
      <c r="M336" s="32">
        <v>-7.9593594059748085E-2</v>
      </c>
      <c r="N336" s="32">
        <v>-0.50324378052204466</v>
      </c>
      <c r="O336" s="32">
        <v>-0.33121548432077219</v>
      </c>
      <c r="P336" s="128" t="str">
        <f t="shared" si="34"/>
        <v/>
      </c>
      <c r="Q336" s="128" t="str">
        <f t="shared" si="35"/>
        <v/>
      </c>
      <c r="R336" s="128" t="str">
        <f t="shared" si="36"/>
        <v/>
      </c>
      <c r="S336" s="118"/>
      <c r="T336" s="104">
        <v>1</v>
      </c>
      <c r="U336" s="104">
        <v>1</v>
      </c>
      <c r="V336" s="104">
        <v>1</v>
      </c>
      <c r="W336" s="104">
        <v>0</v>
      </c>
      <c r="Y336"/>
    </row>
    <row r="337" spans="1:30" x14ac:dyDescent="0.3">
      <c r="A337" s="4">
        <v>911</v>
      </c>
      <c r="B337" s="18">
        <v>-29.190664064275662</v>
      </c>
      <c r="C337" s="18">
        <v>-30.617824795158608</v>
      </c>
      <c r="D337" s="18">
        <v>-31.394859434485454</v>
      </c>
      <c r="E337" s="18">
        <v>-31.453638432575083</v>
      </c>
      <c r="F337" s="21"/>
      <c r="G337" s="8"/>
      <c r="H337" s="18">
        <v>-31.623077587289615</v>
      </c>
      <c r="I337" s="6"/>
      <c r="J337" s="4" t="s">
        <v>18</v>
      </c>
      <c r="K337" s="32">
        <f t="shared" si="33"/>
        <v>-30.664246681623702</v>
      </c>
      <c r="L337" s="32">
        <v>-5.8778998089628942E-2</v>
      </c>
      <c r="M337" s="32">
        <v>-0.77703463932684613</v>
      </c>
      <c r="N337" s="32">
        <v>-1.4271607308829459</v>
      </c>
      <c r="O337" s="32">
        <v>-1.5200045038131336</v>
      </c>
      <c r="P337" s="128">
        <f t="shared" si="34"/>
        <v>-0.83581363741647507</v>
      </c>
      <c r="Q337" s="128">
        <f t="shared" si="35"/>
        <v>-2.262974368299421</v>
      </c>
      <c r="R337" s="128">
        <f t="shared" si="36"/>
        <v>-1.549394002857948</v>
      </c>
      <c r="S337" s="115">
        <v>0</v>
      </c>
      <c r="T337" s="99">
        <v>1</v>
      </c>
      <c r="U337" s="99">
        <v>1</v>
      </c>
      <c r="V337" s="99">
        <v>1</v>
      </c>
      <c r="W337" s="99">
        <v>0</v>
      </c>
      <c r="X337" t="s">
        <v>16</v>
      </c>
      <c r="AC337"/>
      <c r="AD337"/>
    </row>
    <row r="338" spans="1:30" x14ac:dyDescent="0.3">
      <c r="A338" s="4">
        <v>912</v>
      </c>
      <c r="B338" s="18">
        <v>-29.997364680390035</v>
      </c>
      <c r="C338" s="18">
        <v>-29.991367168390173</v>
      </c>
      <c r="D338" s="18">
        <v>-30.146408178822405</v>
      </c>
      <c r="E338" s="18">
        <v>-31.760829812512455</v>
      </c>
      <c r="F338" s="21"/>
      <c r="G338" s="8"/>
      <c r="H338" s="18">
        <v>-31.359162914061233</v>
      </c>
      <c r="I338" s="6"/>
      <c r="J338" s="4" t="s">
        <v>18</v>
      </c>
      <c r="K338" s="32">
        <f t="shared" si="33"/>
        <v>-30.473992460028764</v>
      </c>
      <c r="L338" s="32">
        <v>-1.6144216336900499</v>
      </c>
      <c r="M338" s="32">
        <v>-0.15504101043223173</v>
      </c>
      <c r="N338" s="32">
        <v>5.9975119998618709E-3</v>
      </c>
      <c r="O338" s="32">
        <v>-0.95925307127732751</v>
      </c>
      <c r="P338" s="128">
        <f t="shared" si="34"/>
        <v>-1.7634651321224197</v>
      </c>
      <c r="Q338" s="128">
        <f t="shared" si="35"/>
        <v>-1.7694626441222816</v>
      </c>
      <c r="R338" s="128">
        <f t="shared" si="36"/>
        <v>-1.7664638881223524</v>
      </c>
      <c r="S338" s="115">
        <v>0</v>
      </c>
      <c r="T338" s="99">
        <v>0</v>
      </c>
      <c r="U338" s="99">
        <v>0</v>
      </c>
      <c r="V338" s="99">
        <v>0</v>
      </c>
      <c r="W338" s="99">
        <v>0</v>
      </c>
      <c r="X338" t="s">
        <v>16</v>
      </c>
      <c r="AC338"/>
      <c r="AD338"/>
    </row>
    <row r="339" spans="1:30" x14ac:dyDescent="0.3">
      <c r="A339" s="4">
        <v>913</v>
      </c>
      <c r="B339" s="18">
        <v>-30.497555224037598</v>
      </c>
      <c r="C339" s="18">
        <v>-30.765983746315452</v>
      </c>
      <c r="D339" s="18">
        <v>-30.275490386064515</v>
      </c>
      <c r="E339" s="18">
        <v>-31.46936505663561</v>
      </c>
      <c r="F339" s="21"/>
      <c r="G339" s="8"/>
      <c r="H339" s="18">
        <v>-30.247919359167362</v>
      </c>
      <c r="I339" s="6"/>
      <c r="J339" s="4" t="s">
        <v>18</v>
      </c>
      <c r="K339" s="32">
        <f t="shared" si="33"/>
        <v>-30.752098603263295</v>
      </c>
      <c r="L339" s="32">
        <v>-1.1938746705710948</v>
      </c>
      <c r="M339" s="32">
        <v>0.49049336025093737</v>
      </c>
      <c r="N339" s="32">
        <v>-0.26842852227785485</v>
      </c>
      <c r="O339" s="32">
        <v>-0.24065823617353743</v>
      </c>
      <c r="P339" s="128">
        <f t="shared" si="34"/>
        <v>-0.70338131032015738</v>
      </c>
      <c r="Q339" s="128">
        <f t="shared" si="35"/>
        <v>-0.97180983259801224</v>
      </c>
      <c r="R339" s="128">
        <f t="shared" si="36"/>
        <v>-0.83759557145908303</v>
      </c>
      <c r="S339" s="115">
        <v>0</v>
      </c>
      <c r="T339" s="99">
        <v>1</v>
      </c>
      <c r="U339" s="99">
        <v>1</v>
      </c>
      <c r="V339" s="99">
        <v>1</v>
      </c>
      <c r="W339" s="99">
        <v>0</v>
      </c>
      <c r="X339" t="s">
        <v>16</v>
      </c>
      <c r="AC339"/>
      <c r="AD339"/>
    </row>
    <row r="340" spans="1:30" x14ac:dyDescent="0.3">
      <c r="A340" s="4">
        <v>914</v>
      </c>
      <c r="B340" s="18">
        <v>-30.344219531058791</v>
      </c>
      <c r="C340" s="18">
        <v>-29.991527366582666</v>
      </c>
      <c r="D340" s="18">
        <v>-30.343391304504532</v>
      </c>
      <c r="E340" s="18">
        <v>-31.503385022732559</v>
      </c>
      <c r="F340" s="21"/>
      <c r="G340" s="8"/>
      <c r="H340" s="18">
        <v>-30.851841056363085</v>
      </c>
      <c r="I340" s="6"/>
      <c r="J340" s="4" t="s">
        <v>18</v>
      </c>
      <c r="K340" s="32">
        <f t="shared" si="33"/>
        <v>-30.545630806219638</v>
      </c>
      <c r="L340" s="32">
        <v>-1.1599937182280264</v>
      </c>
      <c r="M340" s="32">
        <v>-0.35186393792186621</v>
      </c>
      <c r="N340" s="32">
        <v>0.3526921644761245</v>
      </c>
      <c r="O340" s="32">
        <v>-0.75551471479781895</v>
      </c>
      <c r="P340" s="128">
        <f t="shared" si="34"/>
        <v>-1.1591654916737681</v>
      </c>
      <c r="Q340" s="128">
        <f t="shared" si="35"/>
        <v>-1.5118576561498926</v>
      </c>
      <c r="R340" s="128">
        <f t="shared" si="36"/>
        <v>-1.3355115739118304</v>
      </c>
      <c r="S340" s="115">
        <v>0</v>
      </c>
      <c r="T340" s="99">
        <v>0</v>
      </c>
      <c r="U340" s="99">
        <v>0</v>
      </c>
      <c r="V340" s="99">
        <v>0</v>
      </c>
      <c r="W340" s="99">
        <v>0</v>
      </c>
      <c r="X340" t="s">
        <v>16</v>
      </c>
      <c r="AC340"/>
      <c r="AD340"/>
    </row>
    <row r="341" spans="1:30" x14ac:dyDescent="0.3">
      <c r="A341" s="4">
        <v>915</v>
      </c>
      <c r="B341" s="18">
        <v>-30.199858867296491</v>
      </c>
      <c r="C341" s="18">
        <v>-29.837736448116139</v>
      </c>
      <c r="D341" s="18">
        <v>-30.466621713751469</v>
      </c>
      <c r="E341" s="18">
        <v>-30.581142940615152</v>
      </c>
      <c r="F341" s="21"/>
      <c r="G341" s="8"/>
      <c r="H341" s="18">
        <v>-30.315755830883269</v>
      </c>
      <c r="I341" s="6"/>
      <c r="J341" s="4" t="s">
        <v>18</v>
      </c>
      <c r="K341" s="32">
        <f t="shared" si="33"/>
        <v>-30.271339992444812</v>
      </c>
      <c r="L341" s="32">
        <v>-0.11452122686368327</v>
      </c>
      <c r="M341" s="32">
        <v>-0.6288852656353292</v>
      </c>
      <c r="N341" s="32">
        <v>0.36212241918035204</v>
      </c>
      <c r="O341" s="32">
        <v>-0.50508466947699304</v>
      </c>
      <c r="P341" s="128">
        <f t="shared" si="34"/>
        <v>-0.38128407331866043</v>
      </c>
      <c r="Q341" s="128">
        <f t="shared" si="35"/>
        <v>-0.74340649249901247</v>
      </c>
      <c r="R341" s="128">
        <f t="shared" si="36"/>
        <v>-0.56234528290883645</v>
      </c>
      <c r="S341" s="115">
        <v>0</v>
      </c>
      <c r="T341" s="99">
        <v>0</v>
      </c>
      <c r="U341" s="99">
        <v>0</v>
      </c>
      <c r="V341" s="99">
        <v>0</v>
      </c>
      <c r="W341" s="99">
        <v>0</v>
      </c>
      <c r="X341" t="s">
        <v>16</v>
      </c>
      <c r="AC341"/>
      <c r="AD341"/>
    </row>
    <row r="342" spans="1:30" x14ac:dyDescent="0.3">
      <c r="A342" s="4">
        <v>918</v>
      </c>
      <c r="B342" s="8">
        <v>-29.34</v>
      </c>
      <c r="C342" s="8">
        <v>-30.17</v>
      </c>
      <c r="D342" s="8">
        <v>-29.39</v>
      </c>
      <c r="E342" s="8">
        <v>-30.66</v>
      </c>
      <c r="F342" s="8"/>
      <c r="G342" s="8"/>
      <c r="H342" s="8"/>
      <c r="I342" s="6"/>
      <c r="J342" s="4" t="s">
        <v>18</v>
      </c>
      <c r="K342" s="32">
        <f t="shared" si="33"/>
        <v>-29.89</v>
      </c>
      <c r="L342" s="32">
        <v>-1.2699999999999996</v>
      </c>
      <c r="M342" s="32">
        <v>0.78000000000000114</v>
      </c>
      <c r="N342" s="32">
        <v>-0.83000000000000185</v>
      </c>
      <c r="O342" s="32">
        <v>-0.26999999999999602</v>
      </c>
      <c r="P342" s="128">
        <f t="shared" si="34"/>
        <v>-0.48999999999999844</v>
      </c>
      <c r="Q342" s="128">
        <f t="shared" si="35"/>
        <v>-1.3200000000000003</v>
      </c>
      <c r="R342" s="128">
        <f t="shared" si="36"/>
        <v>-0.90499999999999758</v>
      </c>
      <c r="S342" s="115">
        <v>0</v>
      </c>
      <c r="T342" s="99">
        <v>1</v>
      </c>
      <c r="U342" s="99">
        <v>1</v>
      </c>
      <c r="V342" s="99">
        <v>1</v>
      </c>
      <c r="W342" s="99">
        <v>0</v>
      </c>
      <c r="X342" t="s">
        <v>16</v>
      </c>
      <c r="AC342"/>
      <c r="AD342"/>
    </row>
    <row r="343" spans="1:30" x14ac:dyDescent="0.3">
      <c r="A343" s="4">
        <v>919</v>
      </c>
      <c r="B343" s="8">
        <v>-29.55</v>
      </c>
      <c r="C343" s="8">
        <v>-29.37</v>
      </c>
      <c r="D343" s="8">
        <v>-28.7</v>
      </c>
      <c r="E343" s="8">
        <v>-29.81</v>
      </c>
      <c r="F343" s="8"/>
      <c r="G343" s="8"/>
      <c r="H343" s="8"/>
      <c r="I343" s="6"/>
      <c r="J343" s="4" t="s">
        <v>18</v>
      </c>
      <c r="K343" s="32">
        <f t="shared" si="33"/>
        <v>-29.357500000000002</v>
      </c>
      <c r="L343" s="32">
        <v>-1.1099999999999994</v>
      </c>
      <c r="M343" s="32">
        <v>0.67000000000000171</v>
      </c>
      <c r="N343" s="32">
        <v>0.17999999999999972</v>
      </c>
      <c r="O343" s="32">
        <v>0.20500000000000185</v>
      </c>
      <c r="P343" s="128">
        <f t="shared" si="34"/>
        <v>-0.25999999999999801</v>
      </c>
      <c r="Q343" s="128">
        <f t="shared" si="35"/>
        <v>-0.43999999999999773</v>
      </c>
      <c r="R343" s="128">
        <f t="shared" si="36"/>
        <v>-0.34999999999999787</v>
      </c>
      <c r="S343" s="115">
        <v>0</v>
      </c>
      <c r="T343" s="99">
        <v>0</v>
      </c>
      <c r="U343" s="99">
        <v>0</v>
      </c>
      <c r="V343" s="99">
        <v>0</v>
      </c>
      <c r="W343" s="99">
        <v>0</v>
      </c>
      <c r="X343" t="s">
        <v>16</v>
      </c>
      <c r="AC343"/>
      <c r="AD343"/>
    </row>
    <row r="344" spans="1:30" x14ac:dyDescent="0.3">
      <c r="A344" s="4">
        <v>920</v>
      </c>
      <c r="B344" s="8">
        <v>-29.79</v>
      </c>
      <c r="C344" s="8">
        <v>-31.58</v>
      </c>
      <c r="D344" s="8">
        <v>-28.4</v>
      </c>
      <c r="E344" s="8">
        <v>-29.55</v>
      </c>
      <c r="F344" s="8"/>
      <c r="G344" s="8"/>
      <c r="H344" s="8"/>
      <c r="I344" s="6"/>
      <c r="J344" s="4" t="s">
        <v>18</v>
      </c>
      <c r="K344" s="32">
        <f t="shared" si="33"/>
        <v>-29.83</v>
      </c>
      <c r="L344" s="32">
        <v>-1.1500000000000021</v>
      </c>
      <c r="M344" s="32">
        <v>3.1799999999999997</v>
      </c>
      <c r="N344" s="32">
        <v>-1.7899999999999991</v>
      </c>
      <c r="O344" s="32">
        <v>1.7099999999999973</v>
      </c>
      <c r="P344" s="128">
        <f t="shared" si="34"/>
        <v>2.0299999999999976</v>
      </c>
      <c r="Q344" s="128">
        <f t="shared" si="35"/>
        <v>0.23999999999999844</v>
      </c>
      <c r="R344" s="128">
        <f t="shared" si="36"/>
        <v>1.134999999999998</v>
      </c>
      <c r="S344" s="115">
        <v>0</v>
      </c>
      <c r="T344" s="99">
        <v>1</v>
      </c>
      <c r="U344" s="99">
        <v>1</v>
      </c>
      <c r="V344" s="99">
        <v>1</v>
      </c>
      <c r="W344" s="99">
        <v>0</v>
      </c>
      <c r="X344" t="s">
        <v>16</v>
      </c>
      <c r="AC344"/>
      <c r="AD344"/>
    </row>
    <row r="345" spans="1:30" x14ac:dyDescent="0.3">
      <c r="A345" s="4">
        <v>921</v>
      </c>
      <c r="B345" s="8">
        <v>-30.08</v>
      </c>
      <c r="C345" s="8">
        <v>-29.87</v>
      </c>
      <c r="D345" s="8">
        <v>-28.9</v>
      </c>
      <c r="E345" s="8">
        <v>-29.27</v>
      </c>
      <c r="F345" s="8"/>
      <c r="G345" s="8"/>
      <c r="H345" s="8"/>
      <c r="I345" s="6"/>
      <c r="J345" s="4" t="s">
        <v>18</v>
      </c>
      <c r="K345" s="32">
        <f t="shared" si="33"/>
        <v>-29.529999999999998</v>
      </c>
      <c r="L345" s="32">
        <v>-0.37000000000000099</v>
      </c>
      <c r="M345" s="32">
        <v>0.97000000000000242</v>
      </c>
      <c r="N345" s="32">
        <v>0.2099999999999973</v>
      </c>
      <c r="O345" s="32">
        <v>0.89000000000000057</v>
      </c>
      <c r="P345" s="128">
        <f t="shared" si="34"/>
        <v>0.80999999999999872</v>
      </c>
      <c r="Q345" s="128">
        <f t="shared" si="35"/>
        <v>0.60000000000000142</v>
      </c>
      <c r="R345" s="128">
        <f t="shared" si="36"/>
        <v>0.70500000000000185</v>
      </c>
      <c r="S345" s="115">
        <v>0</v>
      </c>
      <c r="T345" s="99">
        <v>0</v>
      </c>
      <c r="U345" s="99">
        <v>0</v>
      </c>
      <c r="V345" s="99">
        <v>0</v>
      </c>
      <c r="W345" s="99">
        <v>0</v>
      </c>
      <c r="X345" t="s">
        <v>16</v>
      </c>
      <c r="AC345"/>
      <c r="AD345"/>
    </row>
    <row r="346" spans="1:30" x14ac:dyDescent="0.3">
      <c r="A346" s="4">
        <v>922</v>
      </c>
      <c r="B346" s="8">
        <v>-29.65</v>
      </c>
      <c r="C346" s="8">
        <v>-29.62</v>
      </c>
      <c r="D346" s="8">
        <v>-28.24</v>
      </c>
      <c r="E346" s="8">
        <v>-30.85</v>
      </c>
      <c r="F346" s="8"/>
      <c r="G346" s="8"/>
      <c r="H346" s="8"/>
      <c r="I346" s="6"/>
      <c r="J346" s="4" t="s">
        <v>18</v>
      </c>
      <c r="K346" s="32">
        <f t="shared" si="33"/>
        <v>-29.589999999999996</v>
      </c>
      <c r="L346" s="32">
        <v>-2.610000000000003</v>
      </c>
      <c r="M346" s="32">
        <v>1.3800000000000026</v>
      </c>
      <c r="N346" s="32">
        <v>2.9999999999997584E-2</v>
      </c>
      <c r="O346" s="32">
        <v>8.9999999999996305E-2</v>
      </c>
      <c r="P346" s="128">
        <f t="shared" si="34"/>
        <v>-1.2000000000000028</v>
      </c>
      <c r="Q346" s="128">
        <f t="shared" si="35"/>
        <v>-1.2300000000000004</v>
      </c>
      <c r="R346" s="128">
        <f t="shared" si="36"/>
        <v>-1.2150000000000034</v>
      </c>
      <c r="S346" s="115">
        <v>0</v>
      </c>
      <c r="T346" s="99">
        <v>1</v>
      </c>
      <c r="U346" s="99">
        <v>1</v>
      </c>
      <c r="V346" s="99">
        <v>1</v>
      </c>
      <c r="W346" s="99">
        <v>0</v>
      </c>
      <c r="X346" t="s">
        <v>16</v>
      </c>
      <c r="AC346"/>
      <c r="AD346"/>
    </row>
    <row r="347" spans="1:30" x14ac:dyDescent="0.3">
      <c r="A347" s="4">
        <v>923</v>
      </c>
      <c r="B347" s="8">
        <v>-29.55</v>
      </c>
      <c r="C347" s="8">
        <v>-29.35</v>
      </c>
      <c r="D347" s="8">
        <v>-29.37</v>
      </c>
      <c r="E347" s="8">
        <v>-32.18</v>
      </c>
      <c r="F347" s="8"/>
      <c r="G347" s="8"/>
      <c r="H347" s="8"/>
      <c r="I347" s="6"/>
      <c r="J347" s="4" t="s">
        <v>18</v>
      </c>
      <c r="K347" s="32">
        <f t="shared" si="33"/>
        <v>-30.112500000000004</v>
      </c>
      <c r="L347" s="32">
        <v>-2.8099999999999987</v>
      </c>
      <c r="M347" s="32">
        <v>-1.9999999999999574E-2</v>
      </c>
      <c r="N347" s="32">
        <v>0.19999999999999929</v>
      </c>
      <c r="O347" s="32">
        <v>-1.3249999999999957</v>
      </c>
      <c r="P347" s="128">
        <f t="shared" si="34"/>
        <v>-2.629999999999999</v>
      </c>
      <c r="Q347" s="128">
        <f t="shared" si="35"/>
        <v>-2.8299999999999983</v>
      </c>
      <c r="R347" s="128">
        <f t="shared" si="36"/>
        <v>-2.7299999999999969</v>
      </c>
      <c r="S347" s="115">
        <v>0</v>
      </c>
      <c r="T347" s="99">
        <v>0</v>
      </c>
      <c r="U347" s="99">
        <v>0</v>
      </c>
      <c r="V347" s="99">
        <v>0</v>
      </c>
      <c r="W347" s="99">
        <v>0</v>
      </c>
      <c r="X347" t="s">
        <v>16</v>
      </c>
      <c r="AC347"/>
      <c r="AD347"/>
    </row>
    <row r="348" spans="1:30" x14ac:dyDescent="0.3">
      <c r="A348" s="4">
        <v>924</v>
      </c>
      <c r="B348" s="8">
        <v>-30.07</v>
      </c>
      <c r="C348" s="8">
        <v>-33.229999999999997</v>
      </c>
      <c r="D348" s="8">
        <v>-30.41</v>
      </c>
      <c r="E348" s="8">
        <v>-30.49</v>
      </c>
      <c r="F348" s="8"/>
      <c r="G348" s="8"/>
      <c r="H348" s="8"/>
      <c r="I348" s="6"/>
      <c r="J348" s="4" t="s">
        <v>18</v>
      </c>
      <c r="K348" s="32">
        <f t="shared" si="33"/>
        <v>-31.049999999999997</v>
      </c>
      <c r="L348" s="32">
        <v>-7.9999999999998295E-2</v>
      </c>
      <c r="M348" s="32">
        <v>2.8199999999999967</v>
      </c>
      <c r="N348" s="32">
        <v>-3.1599999999999966</v>
      </c>
      <c r="O348" s="32">
        <v>1.1999999999999993</v>
      </c>
      <c r="P348" s="128">
        <f t="shared" si="34"/>
        <v>2.7399999999999984</v>
      </c>
      <c r="Q348" s="128">
        <f t="shared" si="35"/>
        <v>-0.41999999999999815</v>
      </c>
      <c r="R348" s="128">
        <f t="shared" si="36"/>
        <v>1.1600000000000001</v>
      </c>
      <c r="S348" s="115">
        <v>0</v>
      </c>
      <c r="T348" s="99">
        <v>1</v>
      </c>
      <c r="U348" s="99">
        <v>1</v>
      </c>
      <c r="V348" s="99">
        <v>1</v>
      </c>
      <c r="W348" s="99">
        <v>0</v>
      </c>
      <c r="X348" t="s">
        <v>16</v>
      </c>
      <c r="AC348"/>
      <c r="AD348"/>
    </row>
    <row r="349" spans="1:30" x14ac:dyDescent="0.3">
      <c r="A349" s="4">
        <v>925</v>
      </c>
      <c r="B349" s="8">
        <v>-29.43</v>
      </c>
      <c r="C349" s="8">
        <v>-29.47</v>
      </c>
      <c r="D349" s="8">
        <v>-29.49</v>
      </c>
      <c r="E349" s="8">
        <v>-31.5</v>
      </c>
      <c r="F349" s="8"/>
      <c r="G349" s="8"/>
      <c r="H349" s="8"/>
      <c r="I349" s="6"/>
      <c r="J349" s="4" t="s">
        <v>18</v>
      </c>
      <c r="K349" s="32">
        <f t="shared" si="33"/>
        <v>-29.9725</v>
      </c>
      <c r="L349" s="32">
        <v>-2.0100000000000016</v>
      </c>
      <c r="M349" s="32">
        <v>-1.9999999999999574E-2</v>
      </c>
      <c r="N349" s="32">
        <v>-3.9999999999999147E-2</v>
      </c>
      <c r="O349" s="32">
        <v>-1.0449999999999982</v>
      </c>
      <c r="P349" s="128">
        <f t="shared" si="34"/>
        <v>-2.0300000000000011</v>
      </c>
      <c r="Q349" s="128">
        <f t="shared" si="35"/>
        <v>-2.0700000000000003</v>
      </c>
      <c r="R349" s="128">
        <f t="shared" si="36"/>
        <v>-2.0500000000000007</v>
      </c>
      <c r="S349" s="115">
        <v>0</v>
      </c>
      <c r="T349" s="99">
        <v>1</v>
      </c>
      <c r="U349" s="99">
        <v>1</v>
      </c>
      <c r="V349" s="99">
        <v>1</v>
      </c>
      <c r="W349" s="99">
        <v>0</v>
      </c>
      <c r="X349" t="s">
        <v>16</v>
      </c>
      <c r="AC349"/>
      <c r="AD349"/>
    </row>
    <row r="350" spans="1:30" s="47" customFormat="1" x14ac:dyDescent="0.3">
      <c r="A350" s="40">
        <v>942</v>
      </c>
      <c r="B350" s="45">
        <v>-29.9</v>
      </c>
      <c r="C350" s="45">
        <v>-30.32</v>
      </c>
      <c r="D350" s="45">
        <v>-28.85</v>
      </c>
      <c r="E350" s="45"/>
      <c r="F350" s="45"/>
      <c r="G350" s="45"/>
      <c r="H350" s="45"/>
      <c r="I350" s="43"/>
      <c r="J350" s="4" t="s">
        <v>18</v>
      </c>
      <c r="K350" s="46">
        <f t="shared" si="33"/>
        <v>-29.689999999999998</v>
      </c>
      <c r="L350" s="32">
        <v>28.85</v>
      </c>
      <c r="M350" s="32">
        <v>1.4699999999999989</v>
      </c>
      <c r="N350" s="32">
        <v>-0.42000000000000171</v>
      </c>
      <c r="O350" s="32">
        <v>1.259999999999998</v>
      </c>
      <c r="P350" s="128" t="str">
        <f t="shared" si="34"/>
        <v/>
      </c>
      <c r="Q350" s="128" t="str">
        <f t="shared" si="35"/>
        <v/>
      </c>
      <c r="R350" s="128" t="str">
        <f t="shared" si="36"/>
        <v/>
      </c>
      <c r="S350" s="118"/>
      <c r="T350" s="104"/>
      <c r="U350" s="104"/>
      <c r="V350" s="104"/>
      <c r="W350" s="104"/>
      <c r="Y350"/>
    </row>
    <row r="351" spans="1:30" s="47" customFormat="1" x14ac:dyDescent="0.3">
      <c r="A351" s="40">
        <v>943</v>
      </c>
      <c r="B351" s="45">
        <v>-29.8</v>
      </c>
      <c r="C351" s="45">
        <v>-28.3</v>
      </c>
      <c r="D351" s="45">
        <v>-21.06</v>
      </c>
      <c r="E351" s="45"/>
      <c r="F351" s="45"/>
      <c r="G351" s="45"/>
      <c r="H351" s="45"/>
      <c r="I351" s="43"/>
      <c r="J351" s="4" t="s">
        <v>11</v>
      </c>
      <c r="K351" s="46">
        <f t="shared" si="33"/>
        <v>-26.386666666666667</v>
      </c>
      <c r="L351" s="32">
        <v>21.06</v>
      </c>
      <c r="M351" s="32">
        <v>7.240000000000002</v>
      </c>
      <c r="N351" s="32">
        <v>1.5</v>
      </c>
      <c r="O351" s="32">
        <v>7.990000000000002</v>
      </c>
      <c r="P351" s="128" t="str">
        <f t="shared" si="34"/>
        <v/>
      </c>
      <c r="Q351" s="128" t="str">
        <f t="shared" si="35"/>
        <v/>
      </c>
      <c r="R351" s="128" t="str">
        <f t="shared" si="36"/>
        <v/>
      </c>
      <c r="S351" s="118"/>
      <c r="T351" s="104">
        <v>0</v>
      </c>
      <c r="U351" s="104">
        <v>0</v>
      </c>
      <c r="V351" s="104">
        <v>0</v>
      </c>
      <c r="W351" s="104"/>
      <c r="Y351"/>
    </row>
    <row r="352" spans="1:30" s="47" customFormat="1" x14ac:dyDescent="0.3">
      <c r="A352" s="40">
        <v>944</v>
      </c>
      <c r="B352" s="45">
        <v>-30.52</v>
      </c>
      <c r="C352" s="45">
        <v>-29.1</v>
      </c>
      <c r="D352" s="45">
        <v>-21.04</v>
      </c>
      <c r="E352" s="45"/>
      <c r="F352" s="45"/>
      <c r="G352" s="45"/>
      <c r="H352" s="45"/>
      <c r="I352" s="43"/>
      <c r="J352" s="4" t="s">
        <v>11</v>
      </c>
      <c r="K352" s="46">
        <f t="shared" si="33"/>
        <v>-26.886666666666667</v>
      </c>
      <c r="L352" s="32">
        <v>21.04</v>
      </c>
      <c r="M352" s="32">
        <v>8.0600000000000023</v>
      </c>
      <c r="N352" s="32">
        <v>1.4199999999999982</v>
      </c>
      <c r="O352" s="32">
        <v>8.7700000000000031</v>
      </c>
      <c r="P352" s="128" t="str">
        <f t="shared" si="34"/>
        <v/>
      </c>
      <c r="Q352" s="128" t="str">
        <f t="shared" si="35"/>
        <v/>
      </c>
      <c r="R352" s="128" t="str">
        <f t="shared" si="36"/>
        <v/>
      </c>
      <c r="S352" s="118"/>
      <c r="T352" s="104">
        <v>0</v>
      </c>
      <c r="U352" s="104">
        <v>0</v>
      </c>
      <c r="V352" s="104">
        <v>0</v>
      </c>
      <c r="W352" s="104"/>
      <c r="Y352"/>
    </row>
    <row r="353" spans="1:30" x14ac:dyDescent="0.3">
      <c r="A353" s="4">
        <v>945</v>
      </c>
      <c r="B353" s="8">
        <v>-30.54</v>
      </c>
      <c r="C353" s="8">
        <v>-30.71</v>
      </c>
      <c r="D353" s="8">
        <v>-28.62</v>
      </c>
      <c r="E353" s="8"/>
      <c r="F353" s="8"/>
      <c r="G353" s="8"/>
      <c r="H353" s="8"/>
      <c r="I353" s="6"/>
      <c r="J353" s="4" t="s">
        <v>18</v>
      </c>
      <c r="K353" s="32">
        <f t="shared" si="33"/>
        <v>-29.956666666666667</v>
      </c>
      <c r="L353" s="32">
        <v>28.62</v>
      </c>
      <c r="M353" s="32">
        <v>2.09</v>
      </c>
      <c r="N353" s="32">
        <v>-0.17000000000000171</v>
      </c>
      <c r="O353" s="32">
        <v>2.004999999999999</v>
      </c>
      <c r="P353" s="128" t="str">
        <f t="shared" si="34"/>
        <v/>
      </c>
      <c r="Q353" s="128" t="str">
        <f t="shared" si="35"/>
        <v/>
      </c>
      <c r="R353" s="128" t="str">
        <f t="shared" si="36"/>
        <v/>
      </c>
      <c r="S353" s="115">
        <v>0</v>
      </c>
      <c r="T353" s="99">
        <v>0</v>
      </c>
      <c r="U353" s="99">
        <v>0</v>
      </c>
      <c r="V353" s="99">
        <v>0</v>
      </c>
      <c r="X353" t="s">
        <v>16</v>
      </c>
      <c r="AC353"/>
      <c r="AD353"/>
    </row>
    <row r="354" spans="1:30" x14ac:dyDescent="0.3">
      <c r="A354" s="4">
        <v>946</v>
      </c>
      <c r="B354" s="8">
        <v>-31.24</v>
      </c>
      <c r="C354" s="8">
        <v>-30.34</v>
      </c>
      <c r="D354" s="8">
        <v>-29.16</v>
      </c>
      <c r="E354" s="8"/>
      <c r="F354" s="8"/>
      <c r="G354" s="8"/>
      <c r="H354" s="8"/>
      <c r="I354" s="6"/>
      <c r="J354" s="4" t="s">
        <v>18</v>
      </c>
      <c r="K354" s="32">
        <f t="shared" si="33"/>
        <v>-30.246666666666666</v>
      </c>
      <c r="L354" s="32">
        <v>29.16</v>
      </c>
      <c r="M354" s="32">
        <v>1.1799999999999997</v>
      </c>
      <c r="N354" s="32">
        <v>0.89999999999999858</v>
      </c>
      <c r="O354" s="32">
        <v>1.629999999999999</v>
      </c>
      <c r="P354" s="128" t="str">
        <f t="shared" si="34"/>
        <v/>
      </c>
      <c r="Q354" s="128" t="str">
        <f t="shared" si="35"/>
        <v/>
      </c>
      <c r="R354" s="128" t="str">
        <f t="shared" si="36"/>
        <v/>
      </c>
      <c r="S354" s="115">
        <v>0</v>
      </c>
      <c r="T354" s="99">
        <v>0</v>
      </c>
      <c r="U354" s="99">
        <v>0</v>
      </c>
      <c r="V354" s="99">
        <v>0</v>
      </c>
      <c r="X354" t="s">
        <v>16</v>
      </c>
      <c r="AC354"/>
      <c r="AD354"/>
    </row>
    <row r="355" spans="1:30" x14ac:dyDescent="0.3">
      <c r="A355" s="4">
        <v>947</v>
      </c>
      <c r="B355" s="8">
        <v>-30.42</v>
      </c>
      <c r="C355" s="8">
        <v>-29.33</v>
      </c>
      <c r="D355" s="8">
        <v>-29.09</v>
      </c>
      <c r="E355" s="8"/>
      <c r="F355" s="8"/>
      <c r="G355" s="8"/>
      <c r="H355" s="8"/>
      <c r="I355" s="6"/>
      <c r="J355" s="4" t="s">
        <v>18</v>
      </c>
      <c r="K355" s="32">
        <f t="shared" si="33"/>
        <v>-29.613333333333333</v>
      </c>
      <c r="L355" s="32">
        <v>29.09</v>
      </c>
      <c r="M355" s="32">
        <v>0.23999999999999844</v>
      </c>
      <c r="N355" s="32">
        <v>1.0900000000000034</v>
      </c>
      <c r="O355" s="32">
        <v>0.78500000000000014</v>
      </c>
      <c r="P355" s="128" t="str">
        <f t="shared" si="34"/>
        <v/>
      </c>
      <c r="Q355" s="128" t="str">
        <f t="shared" si="35"/>
        <v/>
      </c>
      <c r="R355" s="128" t="str">
        <f t="shared" si="36"/>
        <v/>
      </c>
      <c r="S355" s="115">
        <v>0</v>
      </c>
      <c r="T355" s="99">
        <v>0</v>
      </c>
      <c r="U355" s="99">
        <v>0</v>
      </c>
      <c r="V355" s="99">
        <v>0</v>
      </c>
      <c r="X355" t="s">
        <v>16</v>
      </c>
      <c r="AC355"/>
      <c r="AD355"/>
    </row>
    <row r="356" spans="1:30" s="47" customFormat="1" x14ac:dyDescent="0.3">
      <c r="A356" s="40">
        <v>948</v>
      </c>
      <c r="B356" s="45">
        <v>-31.46</v>
      </c>
      <c r="C356" s="45">
        <v>-31.25</v>
      </c>
      <c r="D356" s="45">
        <v>-19.73</v>
      </c>
      <c r="E356" s="45"/>
      <c r="F356" s="45"/>
      <c r="G356" s="45"/>
      <c r="H356" s="45"/>
      <c r="I356" s="43"/>
      <c r="J356" s="4" t="s">
        <v>11</v>
      </c>
      <c r="K356" s="46">
        <f t="shared" si="33"/>
        <v>-27.48</v>
      </c>
      <c r="L356" s="32">
        <v>19.73</v>
      </c>
      <c r="M356" s="32">
        <v>11.52</v>
      </c>
      <c r="N356" s="32">
        <v>0.21000000000000085</v>
      </c>
      <c r="O356" s="32">
        <v>11.625</v>
      </c>
      <c r="P356" s="128" t="str">
        <f t="shared" si="34"/>
        <v/>
      </c>
      <c r="Q356" s="128" t="str">
        <f t="shared" si="35"/>
        <v/>
      </c>
      <c r="R356" s="128" t="str">
        <f t="shared" si="36"/>
        <v/>
      </c>
      <c r="S356" s="118"/>
      <c r="T356" s="104">
        <v>0</v>
      </c>
      <c r="U356" s="104">
        <v>0</v>
      </c>
      <c r="V356" s="104">
        <v>0</v>
      </c>
      <c r="W356" s="104"/>
      <c r="Y356"/>
    </row>
    <row r="357" spans="1:30" s="47" customFormat="1" x14ac:dyDescent="0.3">
      <c r="A357" s="40">
        <v>949</v>
      </c>
      <c r="B357" s="45">
        <v>-30.81</v>
      </c>
      <c r="C357" s="45">
        <v>-30.03</v>
      </c>
      <c r="D357" s="45">
        <v>-22.79</v>
      </c>
      <c r="E357" s="45"/>
      <c r="F357" s="45"/>
      <c r="G357" s="45"/>
      <c r="H357" s="45"/>
      <c r="I357" s="43"/>
      <c r="J357" s="4" t="s">
        <v>11</v>
      </c>
      <c r="K357" s="46">
        <f t="shared" si="33"/>
        <v>-27.876666666666665</v>
      </c>
      <c r="L357" s="32">
        <v>22.79</v>
      </c>
      <c r="M357" s="32">
        <v>7.240000000000002</v>
      </c>
      <c r="N357" s="32">
        <v>0.77999999999999758</v>
      </c>
      <c r="O357" s="32">
        <v>7.6300000000000026</v>
      </c>
      <c r="P357" s="128" t="str">
        <f t="shared" si="34"/>
        <v/>
      </c>
      <c r="Q357" s="128" t="str">
        <f t="shared" si="35"/>
        <v/>
      </c>
      <c r="R357" s="128" t="str">
        <f t="shared" si="36"/>
        <v/>
      </c>
      <c r="S357" s="118"/>
      <c r="T357" s="104">
        <v>0</v>
      </c>
      <c r="U357" s="104">
        <v>0</v>
      </c>
      <c r="V357" s="104">
        <v>0</v>
      </c>
      <c r="W357" s="104"/>
      <c r="Y357"/>
    </row>
    <row r="358" spans="1:30" s="47" customFormat="1" x14ac:dyDescent="0.3">
      <c r="A358" s="40">
        <v>950</v>
      </c>
      <c r="B358" s="45">
        <v>-31.420698799614623</v>
      </c>
      <c r="C358" s="45">
        <v>-31.554432035306345</v>
      </c>
      <c r="D358" s="45">
        <v>-30.952733902442176</v>
      </c>
      <c r="E358" s="45"/>
      <c r="F358" s="45"/>
      <c r="G358" s="45"/>
      <c r="H358" s="45">
        <v>-31.752154574288607</v>
      </c>
      <c r="I358" s="43"/>
      <c r="J358" s="4" t="s">
        <v>18</v>
      </c>
      <c r="K358" s="46">
        <f t="shared" si="33"/>
        <v>-31.309288245787712</v>
      </c>
      <c r="L358" s="32">
        <v>30.952733902442176</v>
      </c>
      <c r="M358" s="32">
        <v>0.6016981328641684</v>
      </c>
      <c r="N358" s="32">
        <v>-0.13373323569172157</v>
      </c>
      <c r="O358" s="32">
        <v>0.53483151501830761</v>
      </c>
      <c r="P358" s="128" t="str">
        <f t="shared" si="34"/>
        <v/>
      </c>
      <c r="Q358" s="128" t="str">
        <f t="shared" si="35"/>
        <v/>
      </c>
      <c r="R358" s="128" t="str">
        <f t="shared" si="36"/>
        <v/>
      </c>
      <c r="S358" s="118"/>
      <c r="T358" s="104">
        <v>1</v>
      </c>
      <c r="U358" s="104">
        <v>1</v>
      </c>
      <c r="V358" s="104">
        <v>1</v>
      </c>
      <c r="W358" s="104"/>
      <c r="Y358"/>
    </row>
    <row r="359" spans="1:30" s="47" customFormat="1" x14ac:dyDescent="0.3">
      <c r="A359" s="40">
        <v>951</v>
      </c>
      <c r="B359" s="45">
        <v>-32.118090921534424</v>
      </c>
      <c r="C359" s="45">
        <v>-31.917664972862578</v>
      </c>
      <c r="D359" s="45">
        <v>-31.435348057783536</v>
      </c>
      <c r="E359" s="45"/>
      <c r="F359" s="45"/>
      <c r="G359" s="45"/>
      <c r="H359" s="45">
        <v>-31.924581830090819</v>
      </c>
      <c r="I359" s="43"/>
      <c r="J359" s="4" t="s">
        <v>18</v>
      </c>
      <c r="K359" s="46">
        <f t="shared" si="33"/>
        <v>-31.82370131739351</v>
      </c>
      <c r="L359" s="32">
        <v>31.435348057783536</v>
      </c>
      <c r="M359" s="32">
        <v>0.48231691507904273</v>
      </c>
      <c r="N359" s="32">
        <v>0.20042594867184604</v>
      </c>
      <c r="O359" s="32">
        <v>0.58252988941496398</v>
      </c>
      <c r="P359" s="128" t="str">
        <f t="shared" si="34"/>
        <v/>
      </c>
      <c r="Q359" s="128" t="str">
        <f t="shared" si="35"/>
        <v/>
      </c>
      <c r="R359" s="128" t="str">
        <f t="shared" si="36"/>
        <v/>
      </c>
      <c r="S359" s="118"/>
      <c r="T359" s="104">
        <v>0</v>
      </c>
      <c r="U359" s="104">
        <v>0</v>
      </c>
      <c r="V359" s="104">
        <v>0</v>
      </c>
      <c r="W359" s="104"/>
      <c r="Y359"/>
    </row>
    <row r="360" spans="1:30" s="47" customFormat="1" x14ac:dyDescent="0.3">
      <c r="A360" s="40">
        <v>952</v>
      </c>
      <c r="B360" s="45">
        <v>-32.780475839351553</v>
      </c>
      <c r="C360" s="45">
        <v>-32.1177086812949</v>
      </c>
      <c r="D360" s="45">
        <v>-30.842558917716772</v>
      </c>
      <c r="E360" s="45"/>
      <c r="F360" s="45"/>
      <c r="G360" s="45"/>
      <c r="H360" s="45">
        <v>-32.496142492827907</v>
      </c>
      <c r="I360" s="43"/>
      <c r="J360" s="4" t="s">
        <v>18</v>
      </c>
      <c r="K360" s="46">
        <f t="shared" si="33"/>
        <v>-31.913581146121075</v>
      </c>
      <c r="L360" s="32">
        <v>30.842558917716772</v>
      </c>
      <c r="M360" s="32">
        <v>1.2751497635781277</v>
      </c>
      <c r="N360" s="32">
        <v>0.66276715805665276</v>
      </c>
      <c r="O360" s="32">
        <v>1.6065333426064541</v>
      </c>
      <c r="P360" s="128" t="str">
        <f t="shared" si="34"/>
        <v/>
      </c>
      <c r="Q360" s="128" t="str">
        <f t="shared" si="35"/>
        <v/>
      </c>
      <c r="R360" s="128" t="str">
        <f t="shared" si="36"/>
        <v/>
      </c>
      <c r="S360" s="118"/>
      <c r="T360" s="104">
        <v>0</v>
      </c>
      <c r="U360" s="104">
        <v>0</v>
      </c>
      <c r="V360" s="104">
        <v>0</v>
      </c>
      <c r="W360" s="104"/>
      <c r="Y360"/>
    </row>
    <row r="361" spans="1:30" s="47" customFormat="1" x14ac:dyDescent="0.3">
      <c r="A361" s="40">
        <v>953</v>
      </c>
      <c r="B361" s="45">
        <v>-30.408774755240827</v>
      </c>
      <c r="C361" s="45">
        <v>-31.442929742197784</v>
      </c>
      <c r="D361" s="45">
        <v>-30.220288217855376</v>
      </c>
      <c r="E361" s="45"/>
      <c r="F361" s="45"/>
      <c r="G361" s="45"/>
      <c r="H361" s="45">
        <v>-32.212476059229893</v>
      </c>
      <c r="I361" s="43"/>
      <c r="J361" s="4" t="s">
        <v>18</v>
      </c>
      <c r="K361" s="46">
        <f t="shared" si="33"/>
        <v>-30.690664238431328</v>
      </c>
      <c r="L361" s="32">
        <v>30.220288217855376</v>
      </c>
      <c r="M361" s="32">
        <v>1.2226415243424071</v>
      </c>
      <c r="N361" s="32">
        <v>-1.0341549869569562</v>
      </c>
      <c r="O361" s="32">
        <v>0.70556403086392905</v>
      </c>
      <c r="P361" s="128" t="str">
        <f t="shared" si="34"/>
        <v/>
      </c>
      <c r="Q361" s="128" t="str">
        <f t="shared" si="35"/>
        <v/>
      </c>
      <c r="R361" s="128" t="str">
        <f t="shared" si="36"/>
        <v/>
      </c>
      <c r="S361" s="118"/>
      <c r="T361" s="104">
        <v>1</v>
      </c>
      <c r="U361" s="104">
        <v>1</v>
      </c>
      <c r="V361" s="104">
        <v>1</v>
      </c>
      <c r="W361" s="104"/>
      <c r="Y361"/>
    </row>
    <row r="362" spans="1:30" x14ac:dyDescent="0.3">
      <c r="A362" s="4">
        <v>954</v>
      </c>
      <c r="B362" s="8">
        <v>-32.076634463088993</v>
      </c>
      <c r="C362" s="8">
        <v>-31.483295253124204</v>
      </c>
      <c r="D362" s="8">
        <v>-30.879354719966948</v>
      </c>
      <c r="E362" s="8">
        <v>-30.383253716051975</v>
      </c>
      <c r="F362" s="8"/>
      <c r="G362" s="8"/>
      <c r="H362" s="8">
        <v>-31.310894094578515</v>
      </c>
      <c r="I362" s="6"/>
      <c r="J362" s="4" t="s">
        <v>18</v>
      </c>
      <c r="K362" s="32">
        <f t="shared" si="33"/>
        <v>-31.205634538058028</v>
      </c>
      <c r="L362" s="32">
        <v>0.49610100391497269</v>
      </c>
      <c r="M362" s="32">
        <v>0.60394053315725671</v>
      </c>
      <c r="N362" s="32">
        <v>0.59333920996478895</v>
      </c>
      <c r="O362" s="32">
        <v>1.1486606400971375</v>
      </c>
      <c r="P362" s="128">
        <f t="shared" si="34"/>
        <v>1.1972797431220457</v>
      </c>
      <c r="Q362" s="128">
        <f t="shared" si="35"/>
        <v>0.60394053315725671</v>
      </c>
      <c r="R362" s="128">
        <f t="shared" si="36"/>
        <v>0.90061013813965118</v>
      </c>
      <c r="S362" s="115">
        <v>0</v>
      </c>
      <c r="T362" s="99">
        <v>0</v>
      </c>
      <c r="U362" s="99">
        <v>0</v>
      </c>
      <c r="V362" s="99">
        <v>0</v>
      </c>
      <c r="W362" s="99">
        <v>0</v>
      </c>
      <c r="X362" t="s">
        <v>16</v>
      </c>
      <c r="AC362"/>
      <c r="AD362"/>
    </row>
    <row r="363" spans="1:30" x14ac:dyDescent="0.3">
      <c r="A363" s="4">
        <v>955</v>
      </c>
      <c r="B363" s="8">
        <v>-32.534584850810788</v>
      </c>
      <c r="C363" s="8">
        <v>-32.631137767652916</v>
      </c>
      <c r="D363" s="8">
        <v>-31.25291871880475</v>
      </c>
      <c r="E363" s="8">
        <v>-31.763207839794418</v>
      </c>
      <c r="F363" s="8"/>
      <c r="G363" s="8"/>
      <c r="H363" s="8">
        <v>-32.270236926404692</v>
      </c>
      <c r="I363" s="6"/>
      <c r="J363" s="4" t="s">
        <v>18</v>
      </c>
      <c r="K363" s="32">
        <f t="shared" si="33"/>
        <v>-32.045462294265718</v>
      </c>
      <c r="L363" s="32">
        <v>-0.51028912098966828</v>
      </c>
      <c r="M363" s="32">
        <v>1.378219048848166</v>
      </c>
      <c r="N363" s="32">
        <v>-9.6552916842128411E-2</v>
      </c>
      <c r="O363" s="32">
        <v>1.0747980299322677</v>
      </c>
      <c r="P363" s="128">
        <f t="shared" si="34"/>
        <v>0.86792992785849776</v>
      </c>
      <c r="Q363" s="128">
        <f t="shared" si="35"/>
        <v>0.77137701101636935</v>
      </c>
      <c r="R363" s="128">
        <f t="shared" si="36"/>
        <v>0.81965346943743356</v>
      </c>
      <c r="S363" s="115">
        <v>0</v>
      </c>
      <c r="T363" s="99">
        <v>1</v>
      </c>
      <c r="U363" s="99">
        <v>1</v>
      </c>
      <c r="V363" s="99">
        <v>1</v>
      </c>
      <c r="W363" s="99">
        <v>0</v>
      </c>
      <c r="X363" t="s">
        <v>16</v>
      </c>
      <c r="AC363"/>
      <c r="AD363"/>
    </row>
    <row r="364" spans="1:30" x14ac:dyDescent="0.3">
      <c r="A364" s="4">
        <v>956</v>
      </c>
      <c r="B364" s="8">
        <v>-32.344539797838017</v>
      </c>
      <c r="C364" s="8">
        <v>-32.004798958569907</v>
      </c>
      <c r="D364" s="8">
        <v>-31.868945084308226</v>
      </c>
      <c r="E364" s="8">
        <v>-31.449407761504361</v>
      </c>
      <c r="F364" s="8"/>
      <c r="G364" s="8"/>
      <c r="H364" s="8">
        <v>-32.243948025391411</v>
      </c>
      <c r="I364" s="6"/>
      <c r="J364" s="4" t="s">
        <v>18</v>
      </c>
      <c r="K364" s="32">
        <f t="shared" si="33"/>
        <v>-31.916922900555125</v>
      </c>
      <c r="L364" s="32">
        <v>0.41953732280386546</v>
      </c>
      <c r="M364" s="32">
        <v>0.13585387426168083</v>
      </c>
      <c r="N364" s="32">
        <v>0.33974083926811005</v>
      </c>
      <c r="O364" s="32">
        <v>0.51549295529766681</v>
      </c>
      <c r="P364" s="128">
        <f t="shared" si="34"/>
        <v>0.47559471352979088</v>
      </c>
      <c r="Q364" s="128">
        <f t="shared" si="35"/>
        <v>0.13585387426168083</v>
      </c>
      <c r="R364" s="128">
        <f t="shared" si="36"/>
        <v>0.3057242938957323</v>
      </c>
      <c r="S364" s="115">
        <v>0</v>
      </c>
      <c r="T364" s="99">
        <v>0</v>
      </c>
      <c r="U364" s="99">
        <v>0</v>
      </c>
      <c r="V364" s="99">
        <v>0</v>
      </c>
      <c r="W364" s="99">
        <v>0</v>
      </c>
      <c r="X364" t="s">
        <v>16</v>
      </c>
      <c r="AC364"/>
      <c r="AD364"/>
    </row>
    <row r="365" spans="1:30" x14ac:dyDescent="0.3">
      <c r="A365" s="4">
        <v>957</v>
      </c>
      <c r="B365" s="8">
        <v>-32.503098815536312</v>
      </c>
      <c r="C365" s="8">
        <v>-33.436766401434475</v>
      </c>
      <c r="D365" s="8">
        <v>-31.451174004383169</v>
      </c>
      <c r="E365" s="8">
        <v>-29.559487506554085</v>
      </c>
      <c r="F365" s="8"/>
      <c r="G365" s="8"/>
      <c r="H365" s="8">
        <v>-31.937709420998932</v>
      </c>
      <c r="I365" s="6"/>
      <c r="J365" s="4" t="s">
        <v>18</v>
      </c>
      <c r="K365" s="32">
        <f t="shared" si="33"/>
        <v>-31.737631681977014</v>
      </c>
      <c r="L365" s="32">
        <v>1.8916864978290846</v>
      </c>
      <c r="M365" s="32">
        <v>1.9855923970513061</v>
      </c>
      <c r="N365" s="32">
        <v>-0.93366758589816357</v>
      </c>
      <c r="O365" s="32">
        <v>2.4646018530167666</v>
      </c>
      <c r="P365" s="128">
        <f t="shared" si="34"/>
        <v>1.9855923970513061</v>
      </c>
      <c r="Q365" s="128">
        <f t="shared" si="35"/>
        <v>1.0519248111531425</v>
      </c>
      <c r="R365" s="128">
        <f t="shared" si="36"/>
        <v>1.5187586041022243</v>
      </c>
      <c r="S365" s="115">
        <v>0</v>
      </c>
      <c r="T365" s="99">
        <v>0</v>
      </c>
      <c r="U365" s="99">
        <v>0</v>
      </c>
      <c r="V365" s="99">
        <v>0</v>
      </c>
      <c r="W365" s="99">
        <v>1</v>
      </c>
      <c r="X365" t="s">
        <v>16</v>
      </c>
      <c r="AC365"/>
      <c r="AD365"/>
    </row>
    <row r="366" spans="1:30" s="47" customFormat="1" x14ac:dyDescent="0.3">
      <c r="A366" s="40">
        <v>958</v>
      </c>
      <c r="B366" s="45">
        <v>-32.466994395594554</v>
      </c>
      <c r="C366" s="45">
        <v>-31.473962419376498</v>
      </c>
      <c r="D366" s="45">
        <v>-30.990852890212004</v>
      </c>
      <c r="E366" s="45"/>
      <c r="F366" s="45"/>
      <c r="G366" s="45"/>
      <c r="H366" s="45">
        <v>-31.984163246313457</v>
      </c>
      <c r="I366" s="43"/>
      <c r="J366" s="4" t="s">
        <v>18</v>
      </c>
      <c r="K366" s="46">
        <f t="shared" si="33"/>
        <v>-31.643936568394352</v>
      </c>
      <c r="L366" s="32">
        <v>30.990852890212004</v>
      </c>
      <c r="M366" s="32">
        <v>0.48310952916449423</v>
      </c>
      <c r="N366" s="32">
        <v>0.99303197621805595</v>
      </c>
      <c r="O366" s="32">
        <v>0.97962551727352221</v>
      </c>
      <c r="P366" s="128" t="str">
        <f t="shared" si="34"/>
        <v/>
      </c>
      <c r="Q366" s="128" t="str">
        <f t="shared" si="35"/>
        <v/>
      </c>
      <c r="R366" s="128" t="str">
        <f t="shared" si="36"/>
        <v/>
      </c>
      <c r="S366" s="118"/>
      <c r="T366" s="104">
        <v>0</v>
      </c>
      <c r="U366" s="104">
        <v>0</v>
      </c>
      <c r="V366" s="104">
        <v>0</v>
      </c>
      <c r="W366" s="104"/>
      <c r="Y366"/>
    </row>
    <row r="367" spans="1:30" s="47" customFormat="1" x14ac:dyDescent="0.3">
      <c r="A367" s="40">
        <v>959</v>
      </c>
      <c r="B367" s="45">
        <v>-31.778333235829589</v>
      </c>
      <c r="C367" s="45">
        <v>-31.207325338678789</v>
      </c>
      <c r="D367" s="45">
        <v>-30.196121175588466</v>
      </c>
      <c r="E367" s="45"/>
      <c r="F367" s="45"/>
      <c r="G367" s="45"/>
      <c r="H367" s="45">
        <v>-31.640692539857547</v>
      </c>
      <c r="I367" s="43"/>
      <c r="J367" s="4" t="s">
        <v>18</v>
      </c>
      <c r="K367" s="46">
        <f t="shared" si="33"/>
        <v>-31.06059325003228</v>
      </c>
      <c r="L367" s="32">
        <v>30.196121175588466</v>
      </c>
      <c r="M367" s="32">
        <v>1.0112041630903228</v>
      </c>
      <c r="N367" s="32">
        <v>0.57100789715079969</v>
      </c>
      <c r="O367" s="32">
        <v>1.2967081116657226</v>
      </c>
      <c r="P367" s="128" t="str">
        <f t="shared" si="34"/>
        <v/>
      </c>
      <c r="Q367" s="128" t="str">
        <f t="shared" si="35"/>
        <v/>
      </c>
      <c r="R367" s="128" t="str">
        <f t="shared" si="36"/>
        <v/>
      </c>
      <c r="S367" s="118"/>
      <c r="T367" s="104">
        <v>0</v>
      </c>
      <c r="U367" s="104">
        <v>0</v>
      </c>
      <c r="V367" s="104">
        <v>0</v>
      </c>
      <c r="W367" s="104"/>
      <c r="Y367"/>
    </row>
    <row r="368" spans="1:30" s="47" customFormat="1" x14ac:dyDescent="0.3">
      <c r="A368" s="40">
        <v>960</v>
      </c>
      <c r="B368" s="45">
        <v>-31.262656629441587</v>
      </c>
      <c r="C368" s="45">
        <v>-30.605424561353264</v>
      </c>
      <c r="D368" s="45">
        <v>-30.651817407258697</v>
      </c>
      <c r="E368" s="45"/>
      <c r="F368" s="45"/>
      <c r="G368" s="45"/>
      <c r="H368" s="45">
        <v>-30.741609288241847</v>
      </c>
      <c r="I368" s="43"/>
      <c r="J368" s="4" t="s">
        <v>18</v>
      </c>
      <c r="K368" s="46">
        <f t="shared" si="33"/>
        <v>-30.839966199351181</v>
      </c>
      <c r="L368" s="32">
        <v>30.651817407258697</v>
      </c>
      <c r="M368" s="32">
        <v>-4.6392845905433688E-2</v>
      </c>
      <c r="N368" s="32">
        <v>0.65723206808832302</v>
      </c>
      <c r="O368" s="32">
        <v>0.2822231881387296</v>
      </c>
      <c r="P368" s="128" t="str">
        <f t="shared" si="34"/>
        <v/>
      </c>
      <c r="Q368" s="128" t="str">
        <f t="shared" si="35"/>
        <v/>
      </c>
      <c r="R368" s="128" t="str">
        <f t="shared" si="36"/>
        <v/>
      </c>
      <c r="S368" s="118"/>
      <c r="T368" s="104">
        <v>0</v>
      </c>
      <c r="U368" s="104">
        <v>0</v>
      </c>
      <c r="V368" s="104">
        <v>0</v>
      </c>
      <c r="W368" s="104"/>
      <c r="Y368"/>
    </row>
    <row r="369" spans="1:30" s="47" customFormat="1" x14ac:dyDescent="0.3">
      <c r="A369" s="40">
        <v>961</v>
      </c>
      <c r="B369" s="45">
        <v>-28.894289103419027</v>
      </c>
      <c r="C369" s="45">
        <v>-30.544697851585887</v>
      </c>
      <c r="D369" s="45">
        <v>-29.353947621349295</v>
      </c>
      <c r="E369" s="45"/>
      <c r="F369" s="45"/>
      <c r="G369" s="45"/>
      <c r="H369" s="45">
        <v>-29.254503661149656</v>
      </c>
      <c r="I369" s="43"/>
      <c r="J369" s="4" t="s">
        <v>18</v>
      </c>
      <c r="K369" s="46">
        <f t="shared" si="33"/>
        <v>-29.597644858784736</v>
      </c>
      <c r="L369" s="32">
        <v>29.353947621349295</v>
      </c>
      <c r="M369" s="32">
        <v>1.190750230236592</v>
      </c>
      <c r="N369" s="32">
        <v>-1.6504087481668606</v>
      </c>
      <c r="O369" s="32">
        <v>0.36554585615316171</v>
      </c>
      <c r="P369" s="128" t="str">
        <f t="shared" si="34"/>
        <v/>
      </c>
      <c r="Q369" s="128" t="str">
        <f t="shared" si="35"/>
        <v/>
      </c>
      <c r="R369" s="128" t="str">
        <f t="shared" si="36"/>
        <v/>
      </c>
      <c r="S369" s="118"/>
      <c r="T369" s="104">
        <v>1</v>
      </c>
      <c r="U369" s="104">
        <v>1</v>
      </c>
      <c r="V369" s="104">
        <v>1</v>
      </c>
      <c r="W369" s="104"/>
      <c r="Y369"/>
    </row>
    <row r="370" spans="1:30" x14ac:dyDescent="0.3">
      <c r="A370" s="4">
        <v>962</v>
      </c>
      <c r="B370" s="8">
        <v>-32.227566754623098</v>
      </c>
      <c r="C370" s="8">
        <v>-31.779402514154036</v>
      </c>
      <c r="D370" s="8">
        <v>-31.609948831149794</v>
      </c>
      <c r="E370" s="8">
        <v>-30.79419314353693</v>
      </c>
      <c r="F370" s="8"/>
      <c r="G370" s="8"/>
      <c r="H370" s="8">
        <v>-31.287229190266768</v>
      </c>
      <c r="I370" s="6"/>
      <c r="J370" s="4" t="s">
        <v>18</v>
      </c>
      <c r="K370" s="32">
        <f t="shared" si="33"/>
        <v>-31.602777810865966</v>
      </c>
      <c r="L370" s="32">
        <v>0.81575568761286377</v>
      </c>
      <c r="M370" s="32">
        <v>0.16945368300424235</v>
      </c>
      <c r="N370" s="32">
        <v>0.44816424046906178</v>
      </c>
      <c r="O370" s="32">
        <v>0.80141364704520868</v>
      </c>
      <c r="P370" s="128">
        <f t="shared" si="34"/>
        <v>0.61761792347330413</v>
      </c>
      <c r="Q370" s="128">
        <f t="shared" si="35"/>
        <v>0.16945368300424235</v>
      </c>
      <c r="R370" s="128">
        <f t="shared" si="36"/>
        <v>0.39353580323877679</v>
      </c>
      <c r="S370" s="115">
        <v>0</v>
      </c>
      <c r="T370" s="99">
        <v>0</v>
      </c>
      <c r="U370" s="99">
        <v>0</v>
      </c>
      <c r="V370" s="99">
        <v>0</v>
      </c>
      <c r="W370" s="99">
        <v>0</v>
      </c>
      <c r="X370" t="s">
        <v>16</v>
      </c>
      <c r="AC370"/>
      <c r="AD370"/>
    </row>
    <row r="371" spans="1:30" x14ac:dyDescent="0.3">
      <c r="A371" s="4">
        <v>963</v>
      </c>
      <c r="B371" s="8">
        <v>-31.307039816409812</v>
      </c>
      <c r="C371" s="8">
        <v>-31.097791940366982</v>
      </c>
      <c r="D371" s="8">
        <v>-30.864274485902659</v>
      </c>
      <c r="E371" s="8">
        <v>-30.106600699132215</v>
      </c>
      <c r="F371" s="8"/>
      <c r="G371" s="8"/>
      <c r="H371" s="8">
        <v>-30.815006369296846</v>
      </c>
      <c r="I371" s="6"/>
      <c r="J371" s="4" t="s">
        <v>18</v>
      </c>
      <c r="K371" s="32">
        <f t="shared" si="33"/>
        <v>-30.843926735452918</v>
      </c>
      <c r="L371" s="32">
        <v>0.75767378677044306</v>
      </c>
      <c r="M371" s="32">
        <v>0.23351745446432304</v>
      </c>
      <c r="N371" s="32">
        <v>0.20924787604283068</v>
      </c>
      <c r="O371" s="32">
        <v>0.71697828587096168</v>
      </c>
      <c r="P371" s="128">
        <f t="shared" si="34"/>
        <v>0.44276533050715372</v>
      </c>
      <c r="Q371" s="128">
        <f t="shared" si="35"/>
        <v>0.23351745446432304</v>
      </c>
      <c r="R371" s="128">
        <f t="shared" si="36"/>
        <v>0.33814139248573838</v>
      </c>
      <c r="S371" s="115">
        <v>0</v>
      </c>
      <c r="T371" s="99">
        <v>0</v>
      </c>
      <c r="U371" s="99">
        <v>0</v>
      </c>
      <c r="V371" s="99">
        <v>0</v>
      </c>
      <c r="W371" s="99">
        <v>0</v>
      </c>
      <c r="X371" t="s">
        <v>16</v>
      </c>
      <c r="AC371"/>
      <c r="AD371"/>
    </row>
    <row r="372" spans="1:30" x14ac:dyDescent="0.3">
      <c r="A372" s="4">
        <v>964</v>
      </c>
      <c r="B372" s="8">
        <v>-30.902151485473759</v>
      </c>
      <c r="C372" s="8">
        <v>-30.441491062862518</v>
      </c>
      <c r="D372" s="8">
        <v>-30.051682833085952</v>
      </c>
      <c r="E372" s="8">
        <v>-29.567412291140492</v>
      </c>
      <c r="F372" s="8"/>
      <c r="G372" s="8"/>
      <c r="H372" s="8">
        <v>-30.160876748483737</v>
      </c>
      <c r="I372" s="6"/>
      <c r="J372" s="4" t="s">
        <v>18</v>
      </c>
      <c r="K372" s="32">
        <f t="shared" si="33"/>
        <v>-30.240684418140681</v>
      </c>
      <c r="L372" s="32">
        <v>0.4842705419454596</v>
      </c>
      <c r="M372" s="32">
        <v>0.38980822977656615</v>
      </c>
      <c r="N372" s="32">
        <v>0.46066042261124096</v>
      </c>
      <c r="O372" s="32">
        <v>0.86227371205491465</v>
      </c>
      <c r="P372" s="128">
        <f t="shared" si="34"/>
        <v>0.85046865238780711</v>
      </c>
      <c r="Q372" s="128">
        <f t="shared" si="35"/>
        <v>0.38980822977656615</v>
      </c>
      <c r="R372" s="128">
        <f t="shared" si="36"/>
        <v>0.62013844108218663</v>
      </c>
      <c r="S372" s="115">
        <v>0</v>
      </c>
      <c r="T372" s="99">
        <v>0</v>
      </c>
      <c r="U372" s="99">
        <v>0</v>
      </c>
      <c r="V372" s="99">
        <v>0</v>
      </c>
      <c r="W372" s="99">
        <v>0</v>
      </c>
      <c r="X372" t="s">
        <v>16</v>
      </c>
      <c r="AC372"/>
      <c r="AD372"/>
    </row>
    <row r="373" spans="1:30" x14ac:dyDescent="0.3">
      <c r="A373" s="4">
        <v>965</v>
      </c>
      <c r="B373" s="8">
        <v>-30.487720043300349</v>
      </c>
      <c r="C373" s="8">
        <v>-30.61062195643715</v>
      </c>
      <c r="D373" s="8">
        <v>-29.148282603282702</v>
      </c>
      <c r="E373" s="8">
        <v>-30.901262651054971</v>
      </c>
      <c r="F373" s="8"/>
      <c r="G373" s="8"/>
      <c r="H373" s="8">
        <v>-30.548302476676302</v>
      </c>
      <c r="I373" s="6"/>
      <c r="J373" s="4" t="s">
        <v>18</v>
      </c>
      <c r="K373" s="32">
        <f t="shared" si="33"/>
        <v>-30.28697181351879</v>
      </c>
      <c r="L373" s="32">
        <v>-1.7529800477722688</v>
      </c>
      <c r="M373" s="32">
        <v>1.462339353154448</v>
      </c>
      <c r="N373" s="32">
        <v>-0.12290191313680054</v>
      </c>
      <c r="O373" s="32">
        <v>0.5243983726999133</v>
      </c>
      <c r="P373" s="128">
        <f t="shared" si="34"/>
        <v>-0.29064069461782083</v>
      </c>
      <c r="Q373" s="128">
        <f t="shared" si="35"/>
        <v>-0.41354260775462137</v>
      </c>
      <c r="R373" s="128">
        <f t="shared" si="36"/>
        <v>-0.3520916511862211</v>
      </c>
      <c r="S373" s="115">
        <v>0</v>
      </c>
      <c r="T373" s="99">
        <v>1</v>
      </c>
      <c r="U373" s="99">
        <v>1</v>
      </c>
      <c r="V373" s="99">
        <v>1</v>
      </c>
      <c r="W373" s="99">
        <v>0</v>
      </c>
      <c r="X373" t="s">
        <v>16</v>
      </c>
      <c r="AC373"/>
      <c r="AD373"/>
    </row>
    <row r="374" spans="1:30" s="47" customFormat="1" x14ac:dyDescent="0.3">
      <c r="A374" s="40">
        <v>966</v>
      </c>
      <c r="B374" s="45"/>
      <c r="C374" s="45"/>
      <c r="D374" s="45" t="str">
        <f t="shared" ref="D374:D380" si="37">IF(AND(ISBLANK(F374),ISBLANK(G374)),"",IF(ISBLANK(F374),G374,IF(ISBLANK(G374),F374,(G374+F374)/2)))</f>
        <v/>
      </c>
      <c r="E374" s="45"/>
      <c r="F374" s="45"/>
      <c r="G374" s="45"/>
      <c r="H374" s="45">
        <v>-29.39</v>
      </c>
      <c r="I374" s="43"/>
      <c r="J374" s="4" t="s">
        <v>18</v>
      </c>
      <c r="K374" s="46" t="e">
        <f t="shared" si="33"/>
        <v>#DIV/0!</v>
      </c>
      <c r="L374" s="32" t="e">
        <v>#VALUE!</v>
      </c>
      <c r="M374" s="32" t="e">
        <v>#VALUE!</v>
      </c>
      <c r="N374" s="32">
        <v>0</v>
      </c>
      <c r="O374" s="32" t="e">
        <v>#DIV/0!</v>
      </c>
      <c r="P374" s="128" t="str">
        <f t="shared" si="34"/>
        <v/>
      </c>
      <c r="Q374" s="128" t="str">
        <f t="shared" si="35"/>
        <v/>
      </c>
      <c r="R374" s="128" t="str">
        <f t="shared" si="36"/>
        <v/>
      </c>
      <c r="S374" s="118"/>
      <c r="T374" s="104"/>
      <c r="U374" s="104"/>
      <c r="V374" s="104"/>
      <c r="W374" s="104"/>
      <c r="Y374"/>
    </row>
    <row r="375" spans="1:30" s="47" customFormat="1" x14ac:dyDescent="0.3">
      <c r="A375" s="40">
        <v>967</v>
      </c>
      <c r="B375" s="45"/>
      <c r="C375" s="45"/>
      <c r="D375" s="45" t="str">
        <f t="shared" si="37"/>
        <v/>
      </c>
      <c r="E375" s="45"/>
      <c r="F375" s="45"/>
      <c r="G375" s="45"/>
      <c r="H375" s="45">
        <v>-29.5</v>
      </c>
      <c r="I375" s="43"/>
      <c r="J375" s="4" t="s">
        <v>18</v>
      </c>
      <c r="K375" s="46" t="e">
        <f t="shared" si="33"/>
        <v>#DIV/0!</v>
      </c>
      <c r="L375" s="32" t="e">
        <v>#VALUE!</v>
      </c>
      <c r="M375" s="32" t="e">
        <v>#VALUE!</v>
      </c>
      <c r="N375" s="32">
        <v>0</v>
      </c>
      <c r="O375" s="32" t="e">
        <v>#DIV/0!</v>
      </c>
      <c r="P375" s="128" t="str">
        <f t="shared" si="34"/>
        <v/>
      </c>
      <c r="Q375" s="128" t="str">
        <f t="shared" si="35"/>
        <v/>
      </c>
      <c r="R375" s="128" t="str">
        <f t="shared" si="36"/>
        <v/>
      </c>
      <c r="S375" s="118"/>
      <c r="T375" s="104"/>
      <c r="U375" s="104"/>
      <c r="V375" s="104"/>
      <c r="W375" s="104"/>
      <c r="Y375"/>
    </row>
    <row r="376" spans="1:30" s="47" customFormat="1" x14ac:dyDescent="0.3">
      <c r="A376" s="40">
        <v>968</v>
      </c>
      <c r="B376" s="45"/>
      <c r="C376" s="45"/>
      <c r="D376" s="45" t="str">
        <f t="shared" si="37"/>
        <v/>
      </c>
      <c r="E376" s="45"/>
      <c r="F376" s="45"/>
      <c r="G376" s="45"/>
      <c r="H376" s="45">
        <v>-29.02</v>
      </c>
      <c r="I376" s="43"/>
      <c r="J376" s="4" t="s">
        <v>18</v>
      </c>
      <c r="K376" s="46" t="e">
        <f t="shared" si="33"/>
        <v>#DIV/0!</v>
      </c>
      <c r="L376" s="32" t="e">
        <v>#VALUE!</v>
      </c>
      <c r="M376" s="32" t="e">
        <v>#VALUE!</v>
      </c>
      <c r="N376" s="32">
        <v>0</v>
      </c>
      <c r="O376" s="32" t="e">
        <v>#DIV/0!</v>
      </c>
      <c r="P376" s="128" t="str">
        <f t="shared" si="34"/>
        <v/>
      </c>
      <c r="Q376" s="128" t="str">
        <f t="shared" si="35"/>
        <v/>
      </c>
      <c r="R376" s="128" t="str">
        <f t="shared" si="36"/>
        <v/>
      </c>
      <c r="S376" s="118"/>
      <c r="T376" s="104"/>
      <c r="U376" s="104"/>
      <c r="V376" s="104"/>
      <c r="W376" s="104"/>
      <c r="Y376"/>
    </row>
    <row r="377" spans="1:30" s="47" customFormat="1" x14ac:dyDescent="0.3">
      <c r="A377" s="40">
        <v>969</v>
      </c>
      <c r="B377" s="45"/>
      <c r="C377" s="45"/>
      <c r="D377" s="45" t="str">
        <f t="shared" si="37"/>
        <v/>
      </c>
      <c r="E377" s="45"/>
      <c r="F377" s="45"/>
      <c r="G377" s="45"/>
      <c r="H377" s="45">
        <v>-29.71</v>
      </c>
      <c r="I377" s="43"/>
      <c r="J377" s="4" t="s">
        <v>18</v>
      </c>
      <c r="K377" s="46" t="e">
        <f t="shared" si="33"/>
        <v>#DIV/0!</v>
      </c>
      <c r="L377" s="32" t="e">
        <v>#VALUE!</v>
      </c>
      <c r="M377" s="32" t="e">
        <v>#VALUE!</v>
      </c>
      <c r="N377" s="32">
        <v>0</v>
      </c>
      <c r="O377" s="32" t="e">
        <v>#DIV/0!</v>
      </c>
      <c r="P377" s="128" t="str">
        <f t="shared" si="34"/>
        <v/>
      </c>
      <c r="Q377" s="128" t="str">
        <f t="shared" si="35"/>
        <v/>
      </c>
      <c r="R377" s="128" t="str">
        <f t="shared" si="36"/>
        <v/>
      </c>
      <c r="S377" s="118"/>
      <c r="T377" s="104"/>
      <c r="U377" s="104"/>
      <c r="V377" s="104"/>
      <c r="W377" s="104"/>
      <c r="Y377"/>
    </row>
    <row r="378" spans="1:30" s="47" customFormat="1" x14ac:dyDescent="0.3">
      <c r="A378" s="40">
        <v>970</v>
      </c>
      <c r="B378" s="45"/>
      <c r="C378" s="45"/>
      <c r="D378" s="45" t="str">
        <f t="shared" si="37"/>
        <v/>
      </c>
      <c r="E378" s="45"/>
      <c r="F378" s="45"/>
      <c r="G378" s="45"/>
      <c r="H378" s="45">
        <v>-31.25</v>
      </c>
      <c r="I378" s="43"/>
      <c r="J378" s="4" t="s">
        <v>18</v>
      </c>
      <c r="K378" s="46" t="e">
        <f t="shared" si="33"/>
        <v>#DIV/0!</v>
      </c>
      <c r="L378" s="32" t="e">
        <v>#VALUE!</v>
      </c>
      <c r="M378" s="32" t="e">
        <v>#VALUE!</v>
      </c>
      <c r="N378" s="32">
        <v>0</v>
      </c>
      <c r="O378" s="32" t="e">
        <v>#DIV/0!</v>
      </c>
      <c r="P378" s="128" t="str">
        <f t="shared" si="34"/>
        <v/>
      </c>
      <c r="Q378" s="128" t="str">
        <f t="shared" si="35"/>
        <v/>
      </c>
      <c r="R378" s="128" t="str">
        <f t="shared" si="36"/>
        <v/>
      </c>
      <c r="S378" s="118"/>
      <c r="T378" s="104"/>
      <c r="U378" s="104"/>
      <c r="V378" s="104"/>
      <c r="W378" s="104"/>
      <c r="Y378"/>
    </row>
    <row r="379" spans="1:30" s="47" customFormat="1" x14ac:dyDescent="0.3">
      <c r="A379" s="40">
        <v>971</v>
      </c>
      <c r="B379" s="45"/>
      <c r="C379" s="45"/>
      <c r="D379" s="45" t="str">
        <f t="shared" si="37"/>
        <v/>
      </c>
      <c r="E379" s="45"/>
      <c r="F379" s="45"/>
      <c r="G379" s="45"/>
      <c r="H379" s="45">
        <v>-31.23</v>
      </c>
      <c r="I379" s="43"/>
      <c r="J379" s="4" t="s">
        <v>18</v>
      </c>
      <c r="K379" s="46" t="e">
        <f t="shared" si="33"/>
        <v>#DIV/0!</v>
      </c>
      <c r="L379" s="32" t="e">
        <v>#VALUE!</v>
      </c>
      <c r="M379" s="32" t="e">
        <v>#VALUE!</v>
      </c>
      <c r="N379" s="32">
        <v>0</v>
      </c>
      <c r="O379" s="32" t="e">
        <v>#DIV/0!</v>
      </c>
      <c r="P379" s="128" t="str">
        <f t="shared" si="34"/>
        <v/>
      </c>
      <c r="Q379" s="128" t="str">
        <f t="shared" si="35"/>
        <v/>
      </c>
      <c r="R379" s="128" t="str">
        <f t="shared" si="36"/>
        <v/>
      </c>
      <c r="S379" s="118"/>
      <c r="T379" s="104"/>
      <c r="U379" s="104"/>
      <c r="V379" s="104"/>
      <c r="W379" s="104"/>
      <c r="Y379"/>
    </row>
    <row r="380" spans="1:30" s="47" customFormat="1" x14ac:dyDescent="0.3">
      <c r="A380" s="40">
        <v>972</v>
      </c>
      <c r="B380" s="45"/>
      <c r="C380" s="45"/>
      <c r="D380" s="45" t="str">
        <f t="shared" si="37"/>
        <v/>
      </c>
      <c r="E380" s="45"/>
      <c r="F380" s="45"/>
      <c r="G380" s="45"/>
      <c r="H380" s="45">
        <v>-31.128769348345756</v>
      </c>
      <c r="I380" s="43"/>
      <c r="J380" s="4" t="s">
        <v>18</v>
      </c>
      <c r="K380" s="46" t="e">
        <f t="shared" si="33"/>
        <v>#DIV/0!</v>
      </c>
      <c r="L380" s="32" t="e">
        <v>#VALUE!</v>
      </c>
      <c r="M380" s="32" t="e">
        <v>#VALUE!</v>
      </c>
      <c r="N380" s="32">
        <v>0</v>
      </c>
      <c r="O380" s="32" t="e">
        <v>#DIV/0!</v>
      </c>
      <c r="P380" s="128" t="str">
        <f t="shared" si="34"/>
        <v/>
      </c>
      <c r="Q380" s="128" t="str">
        <f t="shared" si="35"/>
        <v/>
      </c>
      <c r="R380" s="128" t="str">
        <f t="shared" si="36"/>
        <v/>
      </c>
      <c r="S380" s="118"/>
      <c r="T380" s="104"/>
      <c r="U380" s="104"/>
      <c r="V380" s="104"/>
      <c r="W380" s="104"/>
      <c r="Y380"/>
    </row>
    <row r="381" spans="1:30" s="47" customFormat="1" x14ac:dyDescent="0.3">
      <c r="A381" s="40">
        <v>980</v>
      </c>
      <c r="B381" s="63">
        <v>-30.351407348296384</v>
      </c>
      <c r="C381" s="63">
        <v>-30.102000794414558</v>
      </c>
      <c r="D381" s="63">
        <v>-27.696589404709272</v>
      </c>
      <c r="E381" s="64"/>
      <c r="F381" s="64"/>
      <c r="G381" s="45"/>
      <c r="H381" s="63">
        <v>-30.049907185719455</v>
      </c>
      <c r="I381" s="43"/>
      <c r="J381" s="4" t="s">
        <v>18</v>
      </c>
      <c r="K381" s="46">
        <f t="shared" si="33"/>
        <v>-29.383332515806739</v>
      </c>
      <c r="L381" s="32">
        <v>27.696589404709272</v>
      </c>
      <c r="M381" s="32">
        <v>2.4054113897052858</v>
      </c>
      <c r="N381" s="32">
        <v>0.2494065538818262</v>
      </c>
      <c r="O381" s="32">
        <v>2.5301146666461989</v>
      </c>
      <c r="P381" s="128" t="str">
        <f t="shared" si="34"/>
        <v/>
      </c>
      <c r="Q381" s="128" t="str">
        <f t="shared" si="35"/>
        <v/>
      </c>
      <c r="R381" s="128" t="str">
        <f t="shared" si="36"/>
        <v/>
      </c>
      <c r="S381" s="118"/>
      <c r="T381" s="104"/>
      <c r="U381" s="104"/>
      <c r="V381" s="104"/>
      <c r="W381" s="104"/>
      <c r="Y381"/>
    </row>
    <row r="382" spans="1:30" s="47" customFormat="1" x14ac:dyDescent="0.3">
      <c r="A382" s="40">
        <v>981</v>
      </c>
      <c r="B382" s="63">
        <v>-30.265719970261451</v>
      </c>
      <c r="C382" s="63">
        <v>-30.231466456975671</v>
      </c>
      <c r="D382" s="63">
        <v>-26.028581787365425</v>
      </c>
      <c r="E382" s="64"/>
      <c r="F382" s="64"/>
      <c r="G382" s="45"/>
      <c r="H382" s="63">
        <v>-29.163856856408415</v>
      </c>
      <c r="I382" s="43"/>
      <c r="J382" s="4" t="s">
        <v>18</v>
      </c>
      <c r="K382" s="46">
        <f t="shared" si="33"/>
        <v>-28.84192273820085</v>
      </c>
      <c r="L382" s="32">
        <v>26.028581787365425</v>
      </c>
      <c r="M382" s="32">
        <v>4.2028846696102455</v>
      </c>
      <c r="N382" s="32">
        <v>3.4253513285779746E-2</v>
      </c>
      <c r="O382" s="32">
        <v>4.2200114262531372</v>
      </c>
      <c r="P382" s="128" t="str">
        <f t="shared" si="34"/>
        <v/>
      </c>
      <c r="Q382" s="128" t="str">
        <f t="shared" si="35"/>
        <v/>
      </c>
      <c r="R382" s="128" t="str">
        <f t="shared" si="36"/>
        <v/>
      </c>
      <c r="S382" s="118"/>
      <c r="T382" s="104"/>
      <c r="U382" s="104"/>
      <c r="V382" s="104"/>
      <c r="W382" s="104"/>
      <c r="Y382"/>
    </row>
    <row r="383" spans="1:30" s="47" customFormat="1" x14ac:dyDescent="0.3">
      <c r="A383" s="40">
        <v>982</v>
      </c>
      <c r="B383" s="63">
        <v>-30.13009061170542</v>
      </c>
      <c r="C383" s="63">
        <v>-30.026359007997016</v>
      </c>
      <c r="D383" s="63">
        <v>-29.819567338996261</v>
      </c>
      <c r="E383" s="64"/>
      <c r="F383" s="64"/>
      <c r="G383" s="45"/>
      <c r="H383" s="63">
        <v>-30.344265334710126</v>
      </c>
      <c r="I383" s="43"/>
      <c r="J383" s="4" t="s">
        <v>18</v>
      </c>
      <c r="K383" s="46">
        <f t="shared" si="33"/>
        <v>-29.992005652899564</v>
      </c>
      <c r="L383" s="32">
        <v>29.819567338996261</v>
      </c>
      <c r="M383" s="32">
        <v>0.2067916690007543</v>
      </c>
      <c r="N383" s="32">
        <v>0.10373160370840395</v>
      </c>
      <c r="O383" s="32">
        <v>0.25865747085495627</v>
      </c>
      <c r="P383" s="128" t="str">
        <f t="shared" si="34"/>
        <v/>
      </c>
      <c r="Q383" s="128" t="str">
        <f t="shared" si="35"/>
        <v/>
      </c>
      <c r="R383" s="128" t="str">
        <f t="shared" si="36"/>
        <v/>
      </c>
      <c r="S383" s="118"/>
      <c r="T383" s="104"/>
      <c r="U383" s="104"/>
      <c r="V383" s="104"/>
      <c r="W383" s="104"/>
      <c r="Y383"/>
    </row>
    <row r="384" spans="1:30" x14ac:dyDescent="0.3">
      <c r="A384" s="4">
        <v>983</v>
      </c>
      <c r="B384" s="18">
        <v>-30.615497708118177</v>
      </c>
      <c r="C384" s="18">
        <v>-29.04452979054582</v>
      </c>
      <c r="D384" s="18">
        <v>-30.025618350569726</v>
      </c>
      <c r="E384" s="18">
        <v>-30.146314333724256</v>
      </c>
      <c r="F384" s="21"/>
      <c r="G384" s="8"/>
      <c r="H384" s="18">
        <v>-30.30136516526882</v>
      </c>
      <c r="I384" s="6"/>
      <c r="J384" s="4" t="s">
        <v>18</v>
      </c>
      <c r="K384" s="32">
        <f t="shared" si="33"/>
        <v>-29.957990045739493</v>
      </c>
      <c r="L384" s="32">
        <v>-0.12069598315452978</v>
      </c>
      <c r="M384" s="32">
        <v>-0.9810885600239061</v>
      </c>
      <c r="N384" s="32">
        <v>1.5709679175723572</v>
      </c>
      <c r="O384" s="32">
        <v>-0.25595259281499239</v>
      </c>
      <c r="P384" s="128">
        <f t="shared" si="34"/>
        <v>0.46918337439392133</v>
      </c>
      <c r="Q384" s="128">
        <f t="shared" si="35"/>
        <v>-1.1017845431784359</v>
      </c>
      <c r="R384" s="128">
        <f t="shared" si="36"/>
        <v>-0.31630058439225905</v>
      </c>
      <c r="S384" s="115">
        <v>0</v>
      </c>
      <c r="T384" s="99">
        <v>0</v>
      </c>
      <c r="U384" s="99">
        <v>0</v>
      </c>
      <c r="V384" s="99">
        <v>0</v>
      </c>
      <c r="W384" s="99">
        <v>0</v>
      </c>
      <c r="X384" t="s">
        <v>16</v>
      </c>
      <c r="AC384"/>
      <c r="AD384"/>
    </row>
    <row r="385" spans="1:30" x14ac:dyDescent="0.3">
      <c r="A385" s="4">
        <v>984</v>
      </c>
      <c r="B385" s="18">
        <v>-30.287848489959906</v>
      </c>
      <c r="C385" s="18">
        <v>-30.414024219955952</v>
      </c>
      <c r="D385" s="18">
        <v>-29.943576305713027</v>
      </c>
      <c r="E385" s="18">
        <v>-30.364207862224447</v>
      </c>
      <c r="F385" s="21"/>
      <c r="G385" s="8"/>
      <c r="H385" s="18">
        <v>-30.3580259595477</v>
      </c>
      <c r="I385" s="6"/>
      <c r="J385" s="4" t="s">
        <v>18</v>
      </c>
      <c r="K385" s="32">
        <f t="shared" si="33"/>
        <v>-30.252414219463333</v>
      </c>
      <c r="L385" s="32">
        <v>-0.42063155651142026</v>
      </c>
      <c r="M385" s="32">
        <v>0.47044791424292498</v>
      </c>
      <c r="N385" s="32">
        <v>-0.12617572999604576</v>
      </c>
      <c r="O385" s="32">
        <v>0.19704427098919552</v>
      </c>
      <c r="P385" s="128">
        <f t="shared" si="34"/>
        <v>4.9816357731504723E-2</v>
      </c>
      <c r="Q385" s="128">
        <f t="shared" si="35"/>
        <v>-7.6359372264541037E-2</v>
      </c>
      <c r="R385" s="128">
        <f t="shared" si="36"/>
        <v>-1.327150726651638E-2</v>
      </c>
      <c r="S385" s="115">
        <v>0</v>
      </c>
      <c r="T385" s="99">
        <v>1</v>
      </c>
      <c r="U385" s="99">
        <v>1</v>
      </c>
      <c r="V385" s="99">
        <v>1</v>
      </c>
      <c r="W385" s="99">
        <v>0</v>
      </c>
      <c r="X385" t="s">
        <v>16</v>
      </c>
      <c r="AC385"/>
      <c r="AD385"/>
    </row>
    <row r="386" spans="1:30" x14ac:dyDescent="0.3">
      <c r="A386" s="4">
        <v>985</v>
      </c>
      <c r="B386" s="18">
        <v>-30.570416116179338</v>
      </c>
      <c r="C386" s="18">
        <v>-29.556591348875656</v>
      </c>
      <c r="D386" s="18">
        <v>-30.033290275230623</v>
      </c>
      <c r="E386" s="18">
        <v>-30.375858767580915</v>
      </c>
      <c r="F386" s="21"/>
      <c r="G386" s="8"/>
      <c r="H386" s="18">
        <v>-30.112778381776621</v>
      </c>
      <c r="I386" s="6"/>
      <c r="J386" s="4" t="s">
        <v>18</v>
      </c>
      <c r="K386" s="32">
        <f t="shared" ref="K386:K449" si="38">AVERAGE(B386:G386)</f>
        <v>-30.134039126966634</v>
      </c>
      <c r="L386" s="32">
        <v>-0.34256849235029208</v>
      </c>
      <c r="M386" s="32">
        <v>-0.4766989263549668</v>
      </c>
      <c r="N386" s="32">
        <v>1.0138247673036815</v>
      </c>
      <c r="O386" s="32">
        <v>-0.14107078887827029</v>
      </c>
      <c r="P386" s="128">
        <f t="shared" si="34"/>
        <v>0.19455734859842266</v>
      </c>
      <c r="Q386" s="128">
        <f t="shared" si="35"/>
        <v>-0.81926741870525888</v>
      </c>
      <c r="R386" s="128">
        <f t="shared" si="36"/>
        <v>-0.31235503505341811</v>
      </c>
      <c r="S386" s="115">
        <v>0</v>
      </c>
      <c r="T386" s="99">
        <v>0</v>
      </c>
      <c r="U386" s="99">
        <v>0</v>
      </c>
      <c r="V386" s="99">
        <v>0</v>
      </c>
      <c r="W386" s="99">
        <v>0</v>
      </c>
      <c r="X386" t="s">
        <v>16</v>
      </c>
      <c r="AC386"/>
      <c r="AD386"/>
    </row>
    <row r="387" spans="1:30" s="47" customFormat="1" x14ac:dyDescent="0.3">
      <c r="A387" s="40">
        <v>991</v>
      </c>
      <c r="B387" s="63">
        <v>-29.25</v>
      </c>
      <c r="C387" s="63">
        <v>-29.46</v>
      </c>
      <c r="D387" s="63">
        <v>-29.19</v>
      </c>
      <c r="E387" s="45"/>
      <c r="F387" s="45"/>
      <c r="G387" s="45"/>
      <c r="H387" s="63">
        <v>-29.1</v>
      </c>
      <c r="I387" s="43"/>
      <c r="J387" s="4" t="s">
        <v>18</v>
      </c>
      <c r="K387" s="46">
        <f t="shared" si="38"/>
        <v>-29.3</v>
      </c>
      <c r="L387" s="32">
        <v>29.19</v>
      </c>
      <c r="M387" s="32">
        <v>0.26999999999999957</v>
      </c>
      <c r="N387" s="32">
        <v>-0.21000000000000085</v>
      </c>
      <c r="O387" s="32">
        <v>0.16499999999999915</v>
      </c>
      <c r="P387" s="128" t="str">
        <f t="shared" ref="P387:P450" si="39">IF(OR(E387="", D387="", B387="", C387=""), "", MIN(E387,D387)-MIN(B387,C387))</f>
        <v/>
      </c>
      <c r="Q387" s="128" t="str">
        <f t="shared" ref="Q387:Q450" si="40">IF(OR(E387="", D387="", B387="", C387=""), "", MIN(E387,D387)-MAX(B387,C387))</f>
        <v/>
      </c>
      <c r="R387" s="128" t="str">
        <f t="shared" ref="R387:R450" si="41">IF(OR(E387="", D387="", B387="", C387=""), "", MIN(E387,D387)-AVERAGE(B387,C387))</f>
        <v/>
      </c>
      <c r="S387" s="118"/>
      <c r="T387" s="104">
        <v>1</v>
      </c>
      <c r="U387" s="104">
        <v>1</v>
      </c>
      <c r="V387" s="104">
        <v>1</v>
      </c>
      <c r="W387" s="104"/>
      <c r="Y387"/>
    </row>
    <row r="388" spans="1:30" s="47" customFormat="1" x14ac:dyDescent="0.3">
      <c r="A388" s="40">
        <v>992</v>
      </c>
      <c r="B388" s="63">
        <v>-26.96</v>
      </c>
      <c r="C388" s="63">
        <v>-27.27</v>
      </c>
      <c r="D388" s="63">
        <v>-27.82</v>
      </c>
      <c r="E388" s="45"/>
      <c r="F388" s="45"/>
      <c r="G388" s="45"/>
      <c r="H388" s="63">
        <v>-28.73</v>
      </c>
      <c r="I388" s="43"/>
      <c r="J388" s="4" t="s">
        <v>18</v>
      </c>
      <c r="K388" s="46">
        <f t="shared" si="38"/>
        <v>-27.350000000000005</v>
      </c>
      <c r="L388" s="32">
        <v>27.82</v>
      </c>
      <c r="M388" s="32">
        <v>-0.55000000000000071</v>
      </c>
      <c r="N388" s="32">
        <v>-0.30999999999999872</v>
      </c>
      <c r="O388" s="32">
        <v>-0.70499999999999829</v>
      </c>
      <c r="P388" s="128" t="str">
        <f t="shared" si="39"/>
        <v/>
      </c>
      <c r="Q388" s="128" t="str">
        <f t="shared" si="40"/>
        <v/>
      </c>
      <c r="R388" s="128" t="str">
        <f t="shared" si="41"/>
        <v/>
      </c>
      <c r="S388" s="118"/>
      <c r="T388" s="104">
        <v>1</v>
      </c>
      <c r="U388" s="104">
        <v>1</v>
      </c>
      <c r="V388" s="104">
        <v>1</v>
      </c>
      <c r="W388" s="104"/>
      <c r="Y388"/>
    </row>
    <row r="389" spans="1:30" s="47" customFormat="1" x14ac:dyDescent="0.3">
      <c r="A389" s="40">
        <v>993</v>
      </c>
      <c r="B389" s="63">
        <v>-30.24</v>
      </c>
      <c r="C389" s="63">
        <v>-27.93</v>
      </c>
      <c r="D389" s="63">
        <v>-26.5</v>
      </c>
      <c r="E389" s="45"/>
      <c r="F389" s="45"/>
      <c r="G389" s="45"/>
      <c r="H389" s="63">
        <v>-29.45</v>
      </c>
      <c r="I389" s="43"/>
      <c r="J389" s="4" t="s">
        <v>18</v>
      </c>
      <c r="K389" s="46">
        <f t="shared" si="38"/>
        <v>-28.223333333333333</v>
      </c>
      <c r="L389" s="32">
        <v>26.5</v>
      </c>
      <c r="M389" s="32">
        <v>1.4299999999999997</v>
      </c>
      <c r="N389" s="32">
        <v>2.3099999999999987</v>
      </c>
      <c r="O389" s="32">
        <v>2.5850000000000009</v>
      </c>
      <c r="P389" s="128" t="str">
        <f t="shared" si="39"/>
        <v/>
      </c>
      <c r="Q389" s="128" t="str">
        <f t="shared" si="40"/>
        <v/>
      </c>
      <c r="R389" s="128" t="str">
        <f t="shared" si="41"/>
        <v/>
      </c>
      <c r="S389" s="118"/>
      <c r="T389" s="104">
        <v>0</v>
      </c>
      <c r="U389" s="104">
        <v>0</v>
      </c>
      <c r="V389" s="104">
        <v>0</v>
      </c>
      <c r="W389" s="104"/>
      <c r="Y389"/>
    </row>
    <row r="390" spans="1:30" s="47" customFormat="1" x14ac:dyDescent="0.3">
      <c r="A390" s="40">
        <v>994</v>
      </c>
      <c r="B390" s="63">
        <v>-28.83</v>
      </c>
      <c r="C390" s="63">
        <v>-27.47</v>
      </c>
      <c r="D390" s="63">
        <v>-28.57</v>
      </c>
      <c r="E390" s="45"/>
      <c r="F390" s="45"/>
      <c r="G390" s="45"/>
      <c r="H390" s="63">
        <v>-28.63</v>
      </c>
      <c r="I390" s="43"/>
      <c r="J390" s="4" t="s">
        <v>18</v>
      </c>
      <c r="K390" s="46">
        <f t="shared" si="38"/>
        <v>-28.290000000000003</v>
      </c>
      <c r="L390" s="32">
        <v>28.57</v>
      </c>
      <c r="M390" s="32">
        <v>-1.1000000000000014</v>
      </c>
      <c r="N390" s="32">
        <v>1.3599999999999994</v>
      </c>
      <c r="O390" s="32">
        <v>-0.42000000000000171</v>
      </c>
      <c r="P390" s="128" t="str">
        <f t="shared" si="39"/>
        <v/>
      </c>
      <c r="Q390" s="128" t="str">
        <f t="shared" si="40"/>
        <v/>
      </c>
      <c r="R390" s="128" t="str">
        <f t="shared" si="41"/>
        <v/>
      </c>
      <c r="S390" s="118"/>
      <c r="T390" s="104">
        <v>0</v>
      </c>
      <c r="U390" s="104">
        <v>0</v>
      </c>
      <c r="V390" s="104">
        <v>0</v>
      </c>
      <c r="W390" s="104"/>
      <c r="Y390"/>
    </row>
    <row r="391" spans="1:30" s="47" customFormat="1" x14ac:dyDescent="0.3">
      <c r="A391" s="40">
        <v>995</v>
      </c>
      <c r="B391" s="63">
        <v>-29.43</v>
      </c>
      <c r="C391" s="63">
        <v>-29.03</v>
      </c>
      <c r="D391" s="63">
        <v>-29.12</v>
      </c>
      <c r="E391" s="45"/>
      <c r="F391" s="45"/>
      <c r="G391" s="45"/>
      <c r="H391" s="63">
        <v>-29</v>
      </c>
      <c r="I391" s="43"/>
      <c r="J391" s="4" t="s">
        <v>18</v>
      </c>
      <c r="K391" s="46">
        <f t="shared" si="38"/>
        <v>-29.193333333333332</v>
      </c>
      <c r="L391" s="32">
        <v>29.12</v>
      </c>
      <c r="M391" s="32">
        <v>-8.9999999999999858E-2</v>
      </c>
      <c r="N391" s="32">
        <v>0.39999999999999858</v>
      </c>
      <c r="O391" s="32">
        <v>0.10999999999999943</v>
      </c>
      <c r="P391" s="128" t="str">
        <f t="shared" si="39"/>
        <v/>
      </c>
      <c r="Q391" s="128" t="str">
        <f t="shared" si="40"/>
        <v/>
      </c>
      <c r="R391" s="128" t="str">
        <f t="shared" si="41"/>
        <v/>
      </c>
      <c r="S391" s="118"/>
      <c r="T391" s="104">
        <v>0</v>
      </c>
      <c r="U391" s="104">
        <v>0</v>
      </c>
      <c r="V391" s="104">
        <v>0</v>
      </c>
      <c r="W391" s="104"/>
      <c r="Y391"/>
    </row>
    <row r="392" spans="1:30" s="47" customFormat="1" x14ac:dyDescent="0.3">
      <c r="A392" s="40">
        <v>996</v>
      </c>
      <c r="B392" s="63">
        <v>-28.54</v>
      </c>
      <c r="C392" s="63">
        <v>-25.84</v>
      </c>
      <c r="D392" s="63">
        <v>-26.89</v>
      </c>
      <c r="E392" s="45"/>
      <c r="F392" s="45"/>
      <c r="G392" s="45"/>
      <c r="H392" s="63">
        <v>-28.68</v>
      </c>
      <c r="I392" s="43"/>
      <c r="J392" s="4" t="s">
        <v>11</v>
      </c>
      <c r="K392" s="46">
        <f t="shared" si="38"/>
        <v>-27.09</v>
      </c>
      <c r="L392" s="32">
        <v>26.89</v>
      </c>
      <c r="M392" s="32">
        <v>-1.0500000000000007</v>
      </c>
      <c r="N392" s="32">
        <v>2.6999999999999993</v>
      </c>
      <c r="O392" s="32">
        <v>0.29999999999999716</v>
      </c>
      <c r="P392" s="128" t="str">
        <f t="shared" si="39"/>
        <v/>
      </c>
      <c r="Q392" s="128" t="str">
        <f t="shared" si="40"/>
        <v/>
      </c>
      <c r="R392" s="128" t="str">
        <f t="shared" si="41"/>
        <v/>
      </c>
      <c r="S392" s="118"/>
      <c r="T392" s="104">
        <v>0</v>
      </c>
      <c r="U392" s="104">
        <v>0</v>
      </c>
      <c r="V392" s="104">
        <v>0</v>
      </c>
      <c r="W392" s="104"/>
      <c r="Y392"/>
    </row>
    <row r="393" spans="1:30" s="47" customFormat="1" x14ac:dyDescent="0.3">
      <c r="A393" s="40">
        <v>997</v>
      </c>
      <c r="B393" s="63">
        <v>-29.08</v>
      </c>
      <c r="C393" s="63">
        <v>-28.96</v>
      </c>
      <c r="D393" s="63">
        <v>-28.72</v>
      </c>
      <c r="E393" s="45"/>
      <c r="F393" s="45"/>
      <c r="G393" s="45"/>
      <c r="H393" s="63">
        <v>-28.16</v>
      </c>
      <c r="I393" s="43"/>
      <c r="J393" s="4" t="s">
        <v>11</v>
      </c>
      <c r="K393" s="46">
        <f t="shared" si="38"/>
        <v>-28.919999999999998</v>
      </c>
      <c r="L393" s="32">
        <v>28.72</v>
      </c>
      <c r="M393" s="32">
        <v>0.24000000000000199</v>
      </c>
      <c r="N393" s="32">
        <v>0.11999999999999744</v>
      </c>
      <c r="O393" s="32">
        <v>0.30000000000000071</v>
      </c>
      <c r="P393" s="128" t="str">
        <f t="shared" si="39"/>
        <v/>
      </c>
      <c r="Q393" s="128" t="str">
        <f t="shared" si="40"/>
        <v/>
      </c>
      <c r="R393" s="128" t="str">
        <f t="shared" si="41"/>
        <v/>
      </c>
      <c r="S393" s="118"/>
      <c r="T393" s="104">
        <v>0</v>
      </c>
      <c r="U393" s="104">
        <v>0</v>
      </c>
      <c r="V393" s="104">
        <v>0</v>
      </c>
      <c r="W393" s="104"/>
      <c r="Y393"/>
    </row>
    <row r="394" spans="1:30" s="47" customFormat="1" x14ac:dyDescent="0.3">
      <c r="A394" s="40">
        <v>998</v>
      </c>
      <c r="B394" s="63">
        <v>-29.36</v>
      </c>
      <c r="C394" s="63">
        <v>-28.69</v>
      </c>
      <c r="D394" s="63">
        <v>-29.61</v>
      </c>
      <c r="E394" s="45"/>
      <c r="F394" s="45"/>
      <c r="G394" s="45"/>
      <c r="H394" s="63">
        <v>-29.61</v>
      </c>
      <c r="I394" s="43"/>
      <c r="J394" s="4" t="s">
        <v>18</v>
      </c>
      <c r="K394" s="46">
        <f t="shared" si="38"/>
        <v>-29.22</v>
      </c>
      <c r="L394" s="32">
        <v>29.61</v>
      </c>
      <c r="M394" s="32">
        <v>-0.91999999999999815</v>
      </c>
      <c r="N394" s="32">
        <v>0.66999999999999815</v>
      </c>
      <c r="O394" s="32">
        <v>-0.58500000000000085</v>
      </c>
      <c r="P394" s="128" t="str">
        <f t="shared" si="39"/>
        <v/>
      </c>
      <c r="Q394" s="128" t="str">
        <f t="shared" si="40"/>
        <v/>
      </c>
      <c r="R394" s="128" t="str">
        <f t="shared" si="41"/>
        <v/>
      </c>
      <c r="S394" s="118"/>
      <c r="T394" s="104">
        <v>0</v>
      </c>
      <c r="U394" s="104">
        <v>0</v>
      </c>
      <c r="V394" s="104">
        <v>0</v>
      </c>
      <c r="W394" s="104"/>
      <c r="Y394"/>
    </row>
    <row r="395" spans="1:30" s="47" customFormat="1" x14ac:dyDescent="0.3">
      <c r="A395" s="40">
        <v>999</v>
      </c>
      <c r="B395" s="63">
        <v>-29.68</v>
      </c>
      <c r="C395" s="63">
        <v>-29.86</v>
      </c>
      <c r="D395" s="63">
        <v>-28.74</v>
      </c>
      <c r="E395" s="45"/>
      <c r="F395" s="45"/>
      <c r="G395" s="45"/>
      <c r="H395" s="63">
        <v>-29.2</v>
      </c>
      <c r="I395" s="43"/>
      <c r="J395" s="4" t="s">
        <v>18</v>
      </c>
      <c r="K395" s="46">
        <f t="shared" si="38"/>
        <v>-29.426666666666666</v>
      </c>
      <c r="L395" s="32">
        <v>28.74</v>
      </c>
      <c r="M395" s="32">
        <v>1.120000000000001</v>
      </c>
      <c r="N395" s="32">
        <v>-0.17999999999999972</v>
      </c>
      <c r="O395" s="32">
        <v>1.0300000000000011</v>
      </c>
      <c r="P395" s="128" t="str">
        <f t="shared" si="39"/>
        <v/>
      </c>
      <c r="Q395" s="128" t="str">
        <f t="shared" si="40"/>
        <v/>
      </c>
      <c r="R395" s="128" t="str">
        <f t="shared" si="41"/>
        <v/>
      </c>
      <c r="S395" s="118"/>
      <c r="T395" s="104">
        <v>1</v>
      </c>
      <c r="U395" s="104">
        <v>1</v>
      </c>
      <c r="V395" s="104">
        <v>1</v>
      </c>
      <c r="W395" s="104"/>
      <c r="Y395"/>
    </row>
    <row r="396" spans="1:30" s="47" customFormat="1" x14ac:dyDescent="0.3">
      <c r="A396" s="40">
        <v>1000</v>
      </c>
      <c r="B396" s="63">
        <v>-29.22</v>
      </c>
      <c r="C396" s="63">
        <v>-28.18</v>
      </c>
      <c r="D396" s="63">
        <v>-28.65</v>
      </c>
      <c r="E396" s="45"/>
      <c r="F396" s="45"/>
      <c r="G396" s="45"/>
      <c r="H396" s="63">
        <v>-28.52</v>
      </c>
      <c r="I396" s="43"/>
      <c r="J396" s="4" t="s">
        <v>18</v>
      </c>
      <c r="K396" s="46">
        <f t="shared" si="38"/>
        <v>-28.683333333333334</v>
      </c>
      <c r="L396" s="32">
        <v>28.65</v>
      </c>
      <c r="M396" s="32">
        <v>-0.46999999999999886</v>
      </c>
      <c r="N396" s="32">
        <v>1.0399999999999991</v>
      </c>
      <c r="O396" s="32">
        <v>5.0000000000000711E-2</v>
      </c>
      <c r="P396" s="128" t="str">
        <f t="shared" si="39"/>
        <v/>
      </c>
      <c r="Q396" s="128" t="str">
        <f t="shared" si="40"/>
        <v/>
      </c>
      <c r="R396" s="128" t="str">
        <f t="shared" si="41"/>
        <v/>
      </c>
      <c r="S396" s="118"/>
      <c r="T396" s="104">
        <v>0</v>
      </c>
      <c r="U396" s="104">
        <v>0</v>
      </c>
      <c r="V396" s="104">
        <v>0</v>
      </c>
      <c r="W396" s="104"/>
      <c r="Y396"/>
    </row>
    <row r="397" spans="1:30" s="47" customFormat="1" x14ac:dyDescent="0.3">
      <c r="A397" s="40">
        <v>1001</v>
      </c>
      <c r="B397" s="63">
        <v>-29.47</v>
      </c>
      <c r="C397" s="63">
        <v>-27.24</v>
      </c>
      <c r="D397" s="63">
        <v>-28.85</v>
      </c>
      <c r="E397" s="45"/>
      <c r="F397" s="45"/>
      <c r="G397" s="45"/>
      <c r="H397" s="63">
        <v>-29.59</v>
      </c>
      <c r="I397" s="43"/>
      <c r="J397" s="4" t="s">
        <v>18</v>
      </c>
      <c r="K397" s="46">
        <f t="shared" si="38"/>
        <v>-28.52</v>
      </c>
      <c r="L397" s="32">
        <v>28.85</v>
      </c>
      <c r="M397" s="32">
        <v>-1.610000000000003</v>
      </c>
      <c r="N397" s="32">
        <v>2.2300000000000004</v>
      </c>
      <c r="O397" s="32">
        <v>-0.49500000000000455</v>
      </c>
      <c r="P397" s="128" t="str">
        <f t="shared" si="39"/>
        <v/>
      </c>
      <c r="Q397" s="128" t="str">
        <f t="shared" si="40"/>
        <v/>
      </c>
      <c r="R397" s="128" t="str">
        <f t="shared" si="41"/>
        <v/>
      </c>
      <c r="S397" s="118"/>
      <c r="T397" s="104">
        <v>0</v>
      </c>
      <c r="U397" s="104">
        <v>0</v>
      </c>
      <c r="V397" s="104">
        <v>0</v>
      </c>
      <c r="W397" s="104"/>
      <c r="Y397"/>
    </row>
    <row r="398" spans="1:30" s="47" customFormat="1" x14ac:dyDescent="0.3">
      <c r="A398" s="40">
        <v>1002</v>
      </c>
      <c r="B398" s="63">
        <v>-29.19</v>
      </c>
      <c r="C398" s="63">
        <v>-28.31</v>
      </c>
      <c r="D398" s="63">
        <v>-28.33</v>
      </c>
      <c r="E398" s="45"/>
      <c r="F398" s="45"/>
      <c r="G398" s="45"/>
      <c r="H398" s="63">
        <v>-28.49</v>
      </c>
      <c r="I398" s="43"/>
      <c r="J398" s="4" t="s">
        <v>18</v>
      </c>
      <c r="K398" s="46">
        <f t="shared" si="38"/>
        <v>-28.61</v>
      </c>
      <c r="L398" s="32">
        <v>28.33</v>
      </c>
      <c r="M398" s="32">
        <v>-1.9999999999999574E-2</v>
      </c>
      <c r="N398" s="32">
        <v>0.88000000000000256</v>
      </c>
      <c r="O398" s="32">
        <v>0.42000000000000171</v>
      </c>
      <c r="P398" s="128" t="str">
        <f t="shared" si="39"/>
        <v/>
      </c>
      <c r="Q398" s="128" t="str">
        <f t="shared" si="40"/>
        <v/>
      </c>
      <c r="R398" s="128" t="str">
        <f t="shared" si="41"/>
        <v/>
      </c>
      <c r="S398" s="118"/>
      <c r="T398" s="104">
        <v>0</v>
      </c>
      <c r="U398" s="104">
        <v>0</v>
      </c>
      <c r="V398" s="104">
        <v>0</v>
      </c>
      <c r="W398" s="104"/>
      <c r="Y398"/>
    </row>
    <row r="399" spans="1:30" s="47" customFormat="1" x14ac:dyDescent="0.3">
      <c r="A399" s="40">
        <v>1003</v>
      </c>
      <c r="B399" s="63">
        <v>-29.56</v>
      </c>
      <c r="C399" s="63">
        <v>-28.25</v>
      </c>
      <c r="D399" s="63">
        <v>-28.71</v>
      </c>
      <c r="E399" s="45"/>
      <c r="F399" s="45"/>
      <c r="G399" s="45"/>
      <c r="H399" s="63">
        <v>-28.7</v>
      </c>
      <c r="I399" s="43"/>
      <c r="J399" s="4" t="s">
        <v>18</v>
      </c>
      <c r="K399" s="46">
        <f t="shared" si="38"/>
        <v>-28.840000000000003</v>
      </c>
      <c r="L399" s="32">
        <v>28.71</v>
      </c>
      <c r="M399" s="32">
        <v>-0.46000000000000085</v>
      </c>
      <c r="N399" s="32">
        <v>1.3099999999999987</v>
      </c>
      <c r="O399" s="32">
        <v>0.19500000000000028</v>
      </c>
      <c r="P399" s="128" t="str">
        <f t="shared" si="39"/>
        <v/>
      </c>
      <c r="Q399" s="128" t="str">
        <f t="shared" si="40"/>
        <v/>
      </c>
      <c r="R399" s="128" t="str">
        <f t="shared" si="41"/>
        <v/>
      </c>
      <c r="S399" s="118"/>
      <c r="T399" s="104">
        <v>0</v>
      </c>
      <c r="U399" s="104">
        <v>0</v>
      </c>
      <c r="V399" s="104">
        <v>0</v>
      </c>
      <c r="W399" s="104"/>
      <c r="Y399"/>
    </row>
    <row r="400" spans="1:30" x14ac:dyDescent="0.3">
      <c r="A400" s="4">
        <v>1004</v>
      </c>
      <c r="B400" s="18">
        <v>-30.990629773266868</v>
      </c>
      <c r="C400" s="18">
        <v>-29.07719631240451</v>
      </c>
      <c r="D400" s="18">
        <v>-27.746165452521467</v>
      </c>
      <c r="E400" s="8">
        <v>-29.498281350702594</v>
      </c>
      <c r="F400" s="8"/>
      <c r="G400" s="8"/>
      <c r="H400" s="18">
        <v>-30.307387699548883</v>
      </c>
      <c r="I400" s="6"/>
      <c r="J400" s="4" t="s">
        <v>18</v>
      </c>
      <c r="K400" s="32">
        <f t="shared" si="38"/>
        <v>-29.328068222223862</v>
      </c>
      <c r="L400" s="32">
        <v>-1.7521158981811276</v>
      </c>
      <c r="M400" s="32">
        <v>1.3310308598830431</v>
      </c>
      <c r="N400" s="32">
        <v>1.9134334608623575</v>
      </c>
      <c r="O400" s="32">
        <v>1.4116896412236564</v>
      </c>
      <c r="P400" s="128">
        <f t="shared" si="39"/>
        <v>1.4923484225642731</v>
      </c>
      <c r="Q400" s="128">
        <f t="shared" si="40"/>
        <v>-0.42108503829808441</v>
      </c>
      <c r="R400" s="128">
        <f t="shared" si="41"/>
        <v>0.53563169213309436</v>
      </c>
      <c r="S400" s="115">
        <v>0</v>
      </c>
      <c r="T400" s="99">
        <v>0</v>
      </c>
      <c r="U400" s="99">
        <v>0</v>
      </c>
      <c r="V400" s="99">
        <v>0</v>
      </c>
      <c r="W400" s="99">
        <v>1</v>
      </c>
      <c r="X400" t="s">
        <v>16</v>
      </c>
      <c r="AC400"/>
      <c r="AD400"/>
    </row>
    <row r="401" spans="1:30" x14ac:dyDescent="0.3">
      <c r="A401" s="4">
        <v>1005</v>
      </c>
      <c r="B401" s="18">
        <v>-30.486222448655411</v>
      </c>
      <c r="C401" s="18">
        <v>-29.904228268240857</v>
      </c>
      <c r="D401" s="18">
        <v>-28.11040599229575</v>
      </c>
      <c r="E401" s="8">
        <v>-29.815109707399735</v>
      </c>
      <c r="F401" s="8"/>
      <c r="G401" s="8"/>
      <c r="H401" s="18">
        <v>-30.390216457752249</v>
      </c>
      <c r="I401" s="6"/>
      <c r="J401" s="4" t="s">
        <v>18</v>
      </c>
      <c r="K401" s="32">
        <f t="shared" si="38"/>
        <v>-29.578991604147937</v>
      </c>
      <c r="L401" s="32">
        <v>-1.7047037151039852</v>
      </c>
      <c r="M401" s="32">
        <v>1.7938222759451072</v>
      </c>
      <c r="N401" s="32">
        <v>0.58199418041455431</v>
      </c>
      <c r="O401" s="32">
        <v>1.2324675086003936</v>
      </c>
      <c r="P401" s="128">
        <f t="shared" si="39"/>
        <v>0.67111274125567633</v>
      </c>
      <c r="Q401" s="128">
        <f t="shared" si="40"/>
        <v>8.9118560841122019E-2</v>
      </c>
      <c r="R401" s="128">
        <f t="shared" si="41"/>
        <v>0.38011565104839917</v>
      </c>
      <c r="S401" s="115">
        <v>0</v>
      </c>
      <c r="T401" s="99">
        <v>0</v>
      </c>
      <c r="U401" s="99">
        <v>0</v>
      </c>
      <c r="V401" s="99">
        <v>0</v>
      </c>
      <c r="W401" s="99">
        <v>0</v>
      </c>
      <c r="X401" t="s">
        <v>16</v>
      </c>
      <c r="AC401"/>
      <c r="AD401"/>
    </row>
    <row r="402" spans="1:30" x14ac:dyDescent="0.3">
      <c r="A402" s="4">
        <v>1006</v>
      </c>
      <c r="B402" s="18">
        <v>-31.030792495156543</v>
      </c>
      <c r="C402" s="18">
        <v>-29.762055775563883</v>
      </c>
      <c r="D402" s="18">
        <v>-29.165510708629427</v>
      </c>
      <c r="E402" s="8">
        <v>-29.93800768191322</v>
      </c>
      <c r="F402" s="8"/>
      <c r="G402" s="8"/>
      <c r="H402" s="18">
        <v>-30.136069503799764</v>
      </c>
      <c r="I402" s="6"/>
      <c r="J402" s="4" t="s">
        <v>18</v>
      </c>
      <c r="K402" s="32">
        <f t="shared" si="38"/>
        <v>-29.974091665315768</v>
      </c>
      <c r="L402" s="32">
        <v>-0.77249697328379341</v>
      </c>
      <c r="M402" s="32">
        <v>0.59654506693445697</v>
      </c>
      <c r="N402" s="32">
        <v>1.2687367195926598</v>
      </c>
      <c r="O402" s="32">
        <v>0.84466494008889015</v>
      </c>
      <c r="P402" s="128">
        <f t="shared" si="39"/>
        <v>1.0927848132433233</v>
      </c>
      <c r="Q402" s="128">
        <f t="shared" si="40"/>
        <v>-0.17595190634933644</v>
      </c>
      <c r="R402" s="128">
        <f t="shared" si="41"/>
        <v>0.45841645344699344</v>
      </c>
      <c r="S402" s="115">
        <v>0</v>
      </c>
      <c r="T402" s="99">
        <v>0</v>
      </c>
      <c r="U402" s="99">
        <v>0</v>
      </c>
      <c r="V402" s="99">
        <v>0</v>
      </c>
      <c r="W402" s="99">
        <v>0</v>
      </c>
      <c r="X402" t="s">
        <v>16</v>
      </c>
      <c r="AC402"/>
      <c r="AD402"/>
    </row>
    <row r="403" spans="1:30" x14ac:dyDescent="0.3">
      <c r="A403" s="4">
        <v>1007</v>
      </c>
      <c r="B403" s="18">
        <v>-29.919861115961844</v>
      </c>
      <c r="C403" s="18">
        <v>-29.807621839295749</v>
      </c>
      <c r="D403" s="18">
        <v>-28.34136812848174</v>
      </c>
      <c r="E403" s="8">
        <v>-29.657050694078713</v>
      </c>
      <c r="F403" s="8"/>
      <c r="G403" s="8"/>
      <c r="H403" s="18">
        <v>-30.146014765944191</v>
      </c>
      <c r="I403" s="6"/>
      <c r="J403" s="4" t="s">
        <v>18</v>
      </c>
      <c r="K403" s="32">
        <f t="shared" si="38"/>
        <v>-29.431475444454513</v>
      </c>
      <c r="L403" s="32">
        <v>-1.3156825655969726</v>
      </c>
      <c r="M403" s="32">
        <v>1.4662537108140086</v>
      </c>
      <c r="N403" s="32">
        <v>0.11223927666609512</v>
      </c>
      <c r="O403" s="32">
        <v>0.86453206634856983</v>
      </c>
      <c r="P403" s="128">
        <f t="shared" si="39"/>
        <v>0.26281042188313108</v>
      </c>
      <c r="Q403" s="128">
        <f t="shared" si="40"/>
        <v>0.15057114521703596</v>
      </c>
      <c r="R403" s="128">
        <f t="shared" si="41"/>
        <v>0.20669078355008352</v>
      </c>
      <c r="S403" s="115">
        <v>0</v>
      </c>
      <c r="T403" s="99">
        <v>0</v>
      </c>
      <c r="U403" s="99">
        <v>0</v>
      </c>
      <c r="V403" s="99">
        <v>0</v>
      </c>
      <c r="W403" s="99">
        <v>0</v>
      </c>
      <c r="X403" t="s">
        <v>16</v>
      </c>
      <c r="AC403"/>
      <c r="AD403"/>
    </row>
    <row r="404" spans="1:30" s="47" customFormat="1" x14ac:dyDescent="0.3">
      <c r="A404" s="40">
        <v>1015</v>
      </c>
      <c r="B404" s="63">
        <v>-29.62</v>
      </c>
      <c r="C404" s="63">
        <v>-27.22</v>
      </c>
      <c r="D404" s="63">
        <v>-28.34</v>
      </c>
      <c r="E404" s="45"/>
      <c r="F404" s="45"/>
      <c r="G404" s="45"/>
      <c r="H404" s="63">
        <v>-28.77</v>
      </c>
      <c r="I404" s="43"/>
      <c r="J404" s="4" t="s">
        <v>11</v>
      </c>
      <c r="K404" s="46">
        <f t="shared" si="38"/>
        <v>-28.393333333333334</v>
      </c>
      <c r="L404" s="32">
        <v>28.34</v>
      </c>
      <c r="M404" s="32">
        <v>-1.120000000000001</v>
      </c>
      <c r="N404" s="32">
        <v>2.4000000000000021</v>
      </c>
      <c r="O404" s="32">
        <v>8.0000000000001847E-2</v>
      </c>
      <c r="P404" s="128" t="str">
        <f t="shared" si="39"/>
        <v/>
      </c>
      <c r="Q404" s="128" t="str">
        <f t="shared" si="40"/>
        <v/>
      </c>
      <c r="R404" s="128" t="str">
        <f t="shared" si="41"/>
        <v/>
      </c>
      <c r="S404" s="118"/>
      <c r="T404" s="104"/>
      <c r="U404" s="104"/>
      <c r="V404" s="104"/>
      <c r="W404" s="104"/>
      <c r="Y404"/>
    </row>
    <row r="405" spans="1:30" s="47" customFormat="1" x14ac:dyDescent="0.3">
      <c r="A405" s="40">
        <v>1016</v>
      </c>
      <c r="B405" s="63">
        <v>-28.71</v>
      </c>
      <c r="C405" s="63">
        <v>-27.11</v>
      </c>
      <c r="D405" s="63">
        <v>-27.76</v>
      </c>
      <c r="E405" s="45"/>
      <c r="F405" s="45"/>
      <c r="G405" s="45"/>
      <c r="H405" s="63">
        <v>-29.17</v>
      </c>
      <c r="I405" s="43"/>
      <c r="J405" s="4" t="s">
        <v>11</v>
      </c>
      <c r="K405" s="46">
        <f t="shared" si="38"/>
        <v>-27.86</v>
      </c>
      <c r="L405" s="32">
        <v>27.76</v>
      </c>
      <c r="M405" s="32">
        <v>-0.65000000000000213</v>
      </c>
      <c r="N405" s="32">
        <v>1.6000000000000014</v>
      </c>
      <c r="O405" s="32">
        <v>0.14999999999999858</v>
      </c>
      <c r="P405" s="128" t="str">
        <f t="shared" si="39"/>
        <v/>
      </c>
      <c r="Q405" s="128" t="str">
        <f t="shared" si="40"/>
        <v/>
      </c>
      <c r="R405" s="128" t="str">
        <f t="shared" si="41"/>
        <v/>
      </c>
      <c r="S405" s="118"/>
      <c r="T405" s="104"/>
      <c r="U405" s="104"/>
      <c r="V405" s="104"/>
      <c r="W405" s="104"/>
      <c r="Y405"/>
    </row>
    <row r="406" spans="1:30" s="47" customFormat="1" x14ac:dyDescent="0.3">
      <c r="A406" s="40">
        <v>1017</v>
      </c>
      <c r="B406" s="63">
        <v>-29.83</v>
      </c>
      <c r="C406" s="63">
        <v>-27.78</v>
      </c>
      <c r="D406" s="63">
        <v>-28.56</v>
      </c>
      <c r="E406" s="45"/>
      <c r="F406" s="45"/>
      <c r="G406" s="45"/>
      <c r="H406" s="63">
        <v>-29.81</v>
      </c>
      <c r="I406" s="43"/>
      <c r="J406" s="4" t="s">
        <v>18</v>
      </c>
      <c r="K406" s="46">
        <f t="shared" si="38"/>
        <v>-28.723333333333333</v>
      </c>
      <c r="L406" s="32">
        <v>28.56</v>
      </c>
      <c r="M406" s="32">
        <v>-0.77999999999999758</v>
      </c>
      <c r="N406" s="32">
        <v>2.0499999999999972</v>
      </c>
      <c r="O406" s="32">
        <v>0.24500000000000099</v>
      </c>
      <c r="P406" s="128" t="str">
        <f t="shared" si="39"/>
        <v/>
      </c>
      <c r="Q406" s="128" t="str">
        <f t="shared" si="40"/>
        <v/>
      </c>
      <c r="R406" s="128" t="str">
        <f t="shared" si="41"/>
        <v/>
      </c>
      <c r="S406" s="118"/>
      <c r="T406" s="104"/>
      <c r="U406" s="104"/>
      <c r="V406" s="104"/>
      <c r="W406" s="104"/>
      <c r="Y406"/>
    </row>
    <row r="407" spans="1:30" s="47" customFormat="1" x14ac:dyDescent="0.3">
      <c r="A407" s="40">
        <v>1018</v>
      </c>
      <c r="B407" s="63">
        <v>-29.75</v>
      </c>
      <c r="C407" s="63">
        <v>-27.45</v>
      </c>
      <c r="D407" s="63">
        <v>-28.48</v>
      </c>
      <c r="E407" s="45"/>
      <c r="F407" s="45"/>
      <c r="G407" s="45"/>
      <c r="H407" s="63">
        <v>-28.72</v>
      </c>
      <c r="I407" s="43"/>
      <c r="J407" s="4" t="s">
        <v>11</v>
      </c>
      <c r="K407" s="46">
        <f t="shared" si="38"/>
        <v>-28.560000000000002</v>
      </c>
      <c r="L407" s="32">
        <v>28.48</v>
      </c>
      <c r="M407" s="32">
        <v>-1.0300000000000011</v>
      </c>
      <c r="N407" s="32">
        <v>2.3000000000000007</v>
      </c>
      <c r="O407" s="32">
        <v>0.12000000000000099</v>
      </c>
      <c r="P407" s="128" t="str">
        <f t="shared" si="39"/>
        <v/>
      </c>
      <c r="Q407" s="128" t="str">
        <f t="shared" si="40"/>
        <v/>
      </c>
      <c r="R407" s="128" t="str">
        <f t="shared" si="41"/>
        <v/>
      </c>
      <c r="S407" s="118"/>
      <c r="T407" s="104"/>
      <c r="U407" s="104"/>
      <c r="V407" s="104"/>
      <c r="W407" s="104"/>
      <c r="Y407"/>
    </row>
    <row r="408" spans="1:30" s="47" customFormat="1" x14ac:dyDescent="0.3">
      <c r="A408" s="40">
        <v>1019</v>
      </c>
      <c r="B408" s="63">
        <v>-29.56</v>
      </c>
      <c r="C408" s="63">
        <v>-26.85</v>
      </c>
      <c r="D408" s="63">
        <v>-27.77</v>
      </c>
      <c r="E408" s="45"/>
      <c r="F408" s="45"/>
      <c r="G408" s="45"/>
      <c r="H408" s="63">
        <v>-28.32</v>
      </c>
      <c r="I408" s="43"/>
      <c r="J408" s="4" t="s">
        <v>11</v>
      </c>
      <c r="K408" s="46">
        <f t="shared" si="38"/>
        <v>-28.06</v>
      </c>
      <c r="L408" s="32">
        <v>27.77</v>
      </c>
      <c r="M408" s="32">
        <v>-0.91999999999999815</v>
      </c>
      <c r="N408" s="32">
        <v>2.7099999999999973</v>
      </c>
      <c r="O408" s="32">
        <v>0.43499999999999872</v>
      </c>
      <c r="P408" s="128" t="str">
        <f t="shared" si="39"/>
        <v/>
      </c>
      <c r="Q408" s="128" t="str">
        <f t="shared" si="40"/>
        <v/>
      </c>
      <c r="R408" s="128" t="str">
        <f t="shared" si="41"/>
        <v/>
      </c>
      <c r="S408" s="118"/>
      <c r="T408" s="104"/>
      <c r="U408" s="104"/>
      <c r="V408" s="104"/>
      <c r="W408" s="104"/>
      <c r="Y408"/>
    </row>
    <row r="409" spans="1:30" s="47" customFormat="1" x14ac:dyDescent="0.3">
      <c r="A409" s="40">
        <v>1020</v>
      </c>
      <c r="B409" s="63">
        <v>-29.45</v>
      </c>
      <c r="C409" s="63">
        <v>-27.58</v>
      </c>
      <c r="D409" s="63">
        <v>-28.11</v>
      </c>
      <c r="E409" s="45"/>
      <c r="F409" s="45"/>
      <c r="G409" s="45"/>
      <c r="H409" s="63">
        <v>-28.24</v>
      </c>
      <c r="I409" s="43"/>
      <c r="J409" s="4" t="s">
        <v>11</v>
      </c>
      <c r="K409" s="46">
        <f t="shared" si="38"/>
        <v>-28.38</v>
      </c>
      <c r="L409" s="32">
        <v>28.11</v>
      </c>
      <c r="M409" s="32">
        <v>-0.53000000000000114</v>
      </c>
      <c r="N409" s="32">
        <v>1.870000000000001</v>
      </c>
      <c r="O409" s="32">
        <v>0.40500000000000114</v>
      </c>
      <c r="P409" s="128" t="str">
        <f t="shared" si="39"/>
        <v/>
      </c>
      <c r="Q409" s="128" t="str">
        <f t="shared" si="40"/>
        <v/>
      </c>
      <c r="R409" s="128" t="str">
        <f t="shared" si="41"/>
        <v/>
      </c>
      <c r="S409" s="118"/>
      <c r="T409" s="104"/>
      <c r="U409" s="104"/>
      <c r="V409" s="104"/>
      <c r="W409" s="104"/>
      <c r="Y409"/>
    </row>
    <row r="410" spans="1:30" s="47" customFormat="1" x14ac:dyDescent="0.3">
      <c r="A410" s="40">
        <v>1021</v>
      </c>
      <c r="B410" s="63">
        <v>-29.52</v>
      </c>
      <c r="C410" s="63">
        <v>-29.45</v>
      </c>
      <c r="D410" s="63">
        <v>-28.3</v>
      </c>
      <c r="E410" s="45"/>
      <c r="F410" s="45"/>
      <c r="G410" s="45"/>
      <c r="H410" s="63">
        <v>-29.01</v>
      </c>
      <c r="I410" s="43"/>
      <c r="J410" s="4" t="s">
        <v>18</v>
      </c>
      <c r="K410" s="46">
        <f t="shared" si="38"/>
        <v>-29.09</v>
      </c>
      <c r="L410" s="32">
        <v>28.3</v>
      </c>
      <c r="M410" s="32">
        <v>1.1499999999999986</v>
      </c>
      <c r="N410" s="32">
        <v>7.0000000000000284E-2</v>
      </c>
      <c r="O410" s="32">
        <v>1.1849999999999987</v>
      </c>
      <c r="P410" s="128" t="str">
        <f t="shared" si="39"/>
        <v/>
      </c>
      <c r="Q410" s="128" t="str">
        <f t="shared" si="40"/>
        <v/>
      </c>
      <c r="R410" s="128" t="str">
        <f t="shared" si="41"/>
        <v/>
      </c>
      <c r="S410" s="118"/>
      <c r="T410" s="104"/>
      <c r="U410" s="104"/>
      <c r="V410" s="104"/>
      <c r="W410" s="104"/>
      <c r="Y410"/>
    </row>
    <row r="411" spans="1:30" s="47" customFormat="1" x14ac:dyDescent="0.3">
      <c r="A411" s="40">
        <v>1022</v>
      </c>
      <c r="B411" s="63">
        <v>-28.58</v>
      </c>
      <c r="C411" s="63">
        <v>-27.36</v>
      </c>
      <c r="D411" s="63">
        <v>-28.18</v>
      </c>
      <c r="E411" s="45"/>
      <c r="F411" s="45"/>
      <c r="G411" s="45"/>
      <c r="H411" s="63">
        <v>-27.58</v>
      </c>
      <c r="I411" s="43"/>
      <c r="J411" s="4" t="s">
        <v>11</v>
      </c>
      <c r="K411" s="46">
        <f t="shared" si="38"/>
        <v>-28.040000000000003</v>
      </c>
      <c r="L411" s="32">
        <v>28.18</v>
      </c>
      <c r="M411" s="32">
        <v>-0.82000000000000028</v>
      </c>
      <c r="N411" s="32">
        <v>1.2199999999999989</v>
      </c>
      <c r="O411" s="32">
        <v>-0.21000000000000085</v>
      </c>
      <c r="P411" s="128" t="str">
        <f t="shared" si="39"/>
        <v/>
      </c>
      <c r="Q411" s="128" t="str">
        <f t="shared" si="40"/>
        <v/>
      </c>
      <c r="R411" s="128" t="str">
        <f t="shared" si="41"/>
        <v/>
      </c>
      <c r="S411" s="118"/>
      <c r="T411" s="104"/>
      <c r="U411" s="104"/>
      <c r="V411" s="104"/>
      <c r="W411" s="104"/>
      <c r="Y411"/>
    </row>
    <row r="412" spans="1:30" s="47" customFormat="1" x14ac:dyDescent="0.3">
      <c r="A412" s="40">
        <v>1023</v>
      </c>
      <c r="B412" s="63">
        <v>-28.78</v>
      </c>
      <c r="C412" s="63">
        <v>-27.99</v>
      </c>
      <c r="D412" s="63">
        <v>-28.08</v>
      </c>
      <c r="E412" s="45"/>
      <c r="F412" s="45"/>
      <c r="G412" s="45"/>
      <c r="H412" s="63">
        <v>-28.39</v>
      </c>
      <c r="I412" s="43"/>
      <c r="J412" s="4" t="s">
        <v>11</v>
      </c>
      <c r="K412" s="46">
        <f t="shared" si="38"/>
        <v>-28.283333333333331</v>
      </c>
      <c r="L412" s="32">
        <v>28.08</v>
      </c>
      <c r="M412" s="32">
        <v>-8.9999999999999858E-2</v>
      </c>
      <c r="N412" s="32">
        <v>0.7900000000000027</v>
      </c>
      <c r="O412" s="32">
        <v>0.30499999999999972</v>
      </c>
      <c r="P412" s="128" t="str">
        <f t="shared" si="39"/>
        <v/>
      </c>
      <c r="Q412" s="128" t="str">
        <f t="shared" si="40"/>
        <v/>
      </c>
      <c r="R412" s="128" t="str">
        <f t="shared" si="41"/>
        <v/>
      </c>
      <c r="S412" s="118"/>
      <c r="T412" s="104"/>
      <c r="U412" s="104"/>
      <c r="V412" s="104"/>
      <c r="W412" s="104"/>
      <c r="Y412"/>
    </row>
    <row r="413" spans="1:30" s="47" customFormat="1" x14ac:dyDescent="0.3">
      <c r="A413" s="40">
        <v>1024</v>
      </c>
      <c r="B413" s="63">
        <v>-29.59</v>
      </c>
      <c r="C413" s="63">
        <v>-27.08</v>
      </c>
      <c r="D413" s="63">
        <v>-27.64</v>
      </c>
      <c r="E413" s="45"/>
      <c r="F413" s="45"/>
      <c r="G413" s="45"/>
      <c r="H413" s="63">
        <v>-28.95</v>
      </c>
      <c r="I413" s="43"/>
      <c r="J413" s="4" t="s">
        <v>18</v>
      </c>
      <c r="K413" s="46">
        <f t="shared" si="38"/>
        <v>-28.103333333333335</v>
      </c>
      <c r="L413" s="32">
        <v>27.64</v>
      </c>
      <c r="M413" s="32">
        <v>-0.56000000000000227</v>
      </c>
      <c r="N413" s="32">
        <v>2.5100000000000016</v>
      </c>
      <c r="O413" s="32">
        <v>0.69500000000000028</v>
      </c>
      <c r="P413" s="128" t="str">
        <f t="shared" si="39"/>
        <v/>
      </c>
      <c r="Q413" s="128" t="str">
        <f t="shared" si="40"/>
        <v/>
      </c>
      <c r="R413" s="128" t="str">
        <f t="shared" si="41"/>
        <v/>
      </c>
      <c r="S413" s="118"/>
      <c r="T413" s="104"/>
      <c r="U413" s="104"/>
      <c r="V413" s="104"/>
      <c r="W413" s="104"/>
      <c r="Y413"/>
    </row>
    <row r="414" spans="1:30" s="47" customFormat="1" x14ac:dyDescent="0.3">
      <c r="A414" s="40">
        <v>1025</v>
      </c>
      <c r="B414" s="63">
        <v>-28.82</v>
      </c>
      <c r="C414" s="63">
        <v>-28.01</v>
      </c>
      <c r="D414" s="63">
        <v>-28.28</v>
      </c>
      <c r="E414" s="45"/>
      <c r="F414" s="45"/>
      <c r="G414" s="45"/>
      <c r="H414" s="63">
        <v>-29.33</v>
      </c>
      <c r="I414" s="43"/>
      <c r="J414" s="4" t="s">
        <v>18</v>
      </c>
      <c r="K414" s="46">
        <f t="shared" si="38"/>
        <v>-28.37</v>
      </c>
      <c r="L414" s="32">
        <v>28.28</v>
      </c>
      <c r="M414" s="32">
        <v>-0.26999999999999957</v>
      </c>
      <c r="N414" s="32">
        <v>0.80999999999999872</v>
      </c>
      <c r="O414" s="32">
        <v>0.13499999999999801</v>
      </c>
      <c r="P414" s="128" t="str">
        <f t="shared" si="39"/>
        <v/>
      </c>
      <c r="Q414" s="128" t="str">
        <f t="shared" si="40"/>
        <v/>
      </c>
      <c r="R414" s="128" t="str">
        <f t="shared" si="41"/>
        <v/>
      </c>
      <c r="S414" s="118"/>
      <c r="T414" s="104"/>
      <c r="U414" s="104"/>
      <c r="V414" s="104"/>
      <c r="W414" s="104"/>
      <c r="Y414"/>
    </row>
    <row r="415" spans="1:30" s="47" customFormat="1" x14ac:dyDescent="0.3">
      <c r="A415" s="40">
        <v>1026</v>
      </c>
      <c r="B415" s="63">
        <v>-29</v>
      </c>
      <c r="C415" s="63">
        <v>-26.89</v>
      </c>
      <c r="D415" s="63">
        <v>-28.19</v>
      </c>
      <c r="E415" s="45"/>
      <c r="F415" s="45"/>
      <c r="G415" s="45"/>
      <c r="H415" s="63">
        <v>-27.86</v>
      </c>
      <c r="I415" s="43"/>
      <c r="J415" s="4" t="s">
        <v>11</v>
      </c>
      <c r="K415" s="46">
        <f t="shared" si="38"/>
        <v>-28.026666666666667</v>
      </c>
      <c r="L415" s="32">
        <v>28.19</v>
      </c>
      <c r="M415" s="32">
        <v>-1.3000000000000007</v>
      </c>
      <c r="N415" s="32">
        <v>2.1099999999999994</v>
      </c>
      <c r="O415" s="32">
        <v>-0.24500000000000099</v>
      </c>
      <c r="P415" s="128" t="str">
        <f t="shared" si="39"/>
        <v/>
      </c>
      <c r="Q415" s="128" t="str">
        <f t="shared" si="40"/>
        <v/>
      </c>
      <c r="R415" s="128" t="str">
        <f t="shared" si="41"/>
        <v/>
      </c>
      <c r="S415" s="118"/>
      <c r="T415" s="104"/>
      <c r="U415" s="104"/>
      <c r="V415" s="104"/>
      <c r="W415" s="104"/>
      <c r="Y415"/>
    </row>
    <row r="416" spans="1:30" s="47" customFormat="1" x14ac:dyDescent="0.3">
      <c r="A416" s="40">
        <v>1027</v>
      </c>
      <c r="B416" s="63">
        <v>-29.73</v>
      </c>
      <c r="C416" s="63">
        <v>-28.96</v>
      </c>
      <c r="D416" s="63">
        <v>-28.62</v>
      </c>
      <c r="E416" s="45"/>
      <c r="F416" s="45"/>
      <c r="G416" s="45"/>
      <c r="H416" s="63">
        <v>-28.73</v>
      </c>
      <c r="I416" s="43"/>
      <c r="J416" s="4" t="s">
        <v>18</v>
      </c>
      <c r="K416" s="46">
        <f t="shared" si="38"/>
        <v>-29.103333333333335</v>
      </c>
      <c r="L416" s="32">
        <v>28.62</v>
      </c>
      <c r="M416" s="32">
        <v>0.33999999999999986</v>
      </c>
      <c r="N416" s="32">
        <v>0.76999999999999957</v>
      </c>
      <c r="O416" s="32">
        <v>0.72499999999999787</v>
      </c>
      <c r="P416" s="128" t="str">
        <f t="shared" si="39"/>
        <v/>
      </c>
      <c r="Q416" s="128" t="str">
        <f t="shared" si="40"/>
        <v/>
      </c>
      <c r="R416" s="128" t="str">
        <f t="shared" si="41"/>
        <v/>
      </c>
      <c r="S416" s="118"/>
      <c r="T416" s="104"/>
      <c r="U416" s="104"/>
      <c r="V416" s="104"/>
      <c r="W416" s="104"/>
      <c r="Y416"/>
    </row>
    <row r="417" spans="1:30" s="47" customFormat="1" x14ac:dyDescent="0.3">
      <c r="A417" s="40">
        <v>1031</v>
      </c>
      <c r="B417" s="45">
        <v>-31.250443276937744</v>
      </c>
      <c r="C417" s="45">
        <v>-31.045626924805113</v>
      </c>
      <c r="D417" s="45">
        <v>-30.334304298537248</v>
      </c>
      <c r="E417" s="64"/>
      <c r="F417" s="64"/>
      <c r="G417" s="45"/>
      <c r="H417" s="45"/>
      <c r="I417" s="43"/>
      <c r="J417" s="4" t="s">
        <v>18</v>
      </c>
      <c r="K417" s="46">
        <f t="shared" si="38"/>
        <v>-30.876791500093372</v>
      </c>
      <c r="L417" s="32">
        <v>30.334304298537248</v>
      </c>
      <c r="M417" s="32">
        <v>0.71132262626786513</v>
      </c>
      <c r="N417" s="32">
        <v>0.20481635213263161</v>
      </c>
      <c r="O417" s="32">
        <v>0.81373080233418094</v>
      </c>
      <c r="P417" s="128" t="str">
        <f t="shared" si="39"/>
        <v/>
      </c>
      <c r="Q417" s="128" t="str">
        <f t="shared" si="40"/>
        <v/>
      </c>
      <c r="R417" s="128" t="str">
        <f t="shared" si="41"/>
        <v/>
      </c>
      <c r="S417" s="118"/>
      <c r="T417" s="104"/>
      <c r="U417" s="104"/>
      <c r="V417" s="104"/>
      <c r="W417" s="104"/>
      <c r="Y417"/>
    </row>
    <row r="418" spans="1:30" s="47" customFormat="1" x14ac:dyDescent="0.3">
      <c r="A418" s="40">
        <v>1032</v>
      </c>
      <c r="B418" s="45">
        <v>-32.35705383058017</v>
      </c>
      <c r="C418" s="45">
        <v>-31.028653948123548</v>
      </c>
      <c r="D418" s="45">
        <v>-29.794538856614274</v>
      </c>
      <c r="E418" s="64"/>
      <c r="F418" s="64"/>
      <c r="G418" s="45"/>
      <c r="H418" s="45"/>
      <c r="I418" s="43"/>
      <c r="J418" s="4" t="s">
        <v>18</v>
      </c>
      <c r="K418" s="46">
        <f t="shared" si="38"/>
        <v>-31.060082211772663</v>
      </c>
      <c r="L418" s="32">
        <v>29.794538856614274</v>
      </c>
      <c r="M418" s="32">
        <v>1.234115091509274</v>
      </c>
      <c r="N418" s="32">
        <v>1.3283998824566225</v>
      </c>
      <c r="O418" s="32">
        <v>1.8983150327375853</v>
      </c>
      <c r="P418" s="128" t="str">
        <f t="shared" si="39"/>
        <v/>
      </c>
      <c r="Q418" s="128" t="str">
        <f t="shared" si="40"/>
        <v/>
      </c>
      <c r="R418" s="128" t="str">
        <f t="shared" si="41"/>
        <v/>
      </c>
      <c r="S418" s="118"/>
      <c r="T418" s="104"/>
      <c r="U418" s="104"/>
      <c r="V418" s="104"/>
      <c r="W418" s="104"/>
      <c r="Y418"/>
    </row>
    <row r="419" spans="1:30" s="47" customFormat="1" x14ac:dyDescent="0.3">
      <c r="A419" s="40">
        <v>1033</v>
      </c>
      <c r="B419" s="45">
        <v>-31.338064873531984</v>
      </c>
      <c r="C419" s="45">
        <v>-30.744208192611737</v>
      </c>
      <c r="D419" s="45">
        <v>-30.372282798886701</v>
      </c>
      <c r="E419" s="64"/>
      <c r="F419" s="64"/>
      <c r="G419" s="45"/>
      <c r="H419" s="45"/>
      <c r="I419" s="43"/>
      <c r="J419" s="4" t="s">
        <v>18</v>
      </c>
      <c r="K419" s="46">
        <f t="shared" si="38"/>
        <v>-30.818185288343471</v>
      </c>
      <c r="L419" s="32">
        <v>30.372282798886701</v>
      </c>
      <c r="M419" s="32">
        <v>0.37192539372503575</v>
      </c>
      <c r="N419" s="32">
        <v>0.59385668092024702</v>
      </c>
      <c r="O419" s="32">
        <v>0.66885373418515925</v>
      </c>
      <c r="P419" s="128" t="str">
        <f t="shared" si="39"/>
        <v/>
      </c>
      <c r="Q419" s="128" t="str">
        <f t="shared" si="40"/>
        <v/>
      </c>
      <c r="R419" s="128" t="str">
        <f t="shared" si="41"/>
        <v/>
      </c>
      <c r="S419" s="118"/>
      <c r="T419" s="104"/>
      <c r="U419" s="104"/>
      <c r="V419" s="104"/>
      <c r="W419" s="104"/>
      <c r="Y419"/>
    </row>
    <row r="420" spans="1:30" s="47" customFormat="1" x14ac:dyDescent="0.3">
      <c r="A420" s="40">
        <v>1034</v>
      </c>
      <c r="B420" s="45">
        <v>-31.423680700537169</v>
      </c>
      <c r="C420" s="45">
        <v>-30.173863893501654</v>
      </c>
      <c r="D420" s="45">
        <v>-29.40980269560086</v>
      </c>
      <c r="E420" s="64"/>
      <c r="F420" s="64"/>
      <c r="G420" s="45"/>
      <c r="H420" s="45"/>
      <c r="I420" s="43"/>
      <c r="J420" s="4" t="s">
        <v>18</v>
      </c>
      <c r="K420" s="46">
        <f t="shared" si="38"/>
        <v>-30.335782429879895</v>
      </c>
      <c r="L420" s="32">
        <v>29.40980269560086</v>
      </c>
      <c r="M420" s="32">
        <v>0.7640611979007943</v>
      </c>
      <c r="N420" s="32">
        <v>1.2498168070355149</v>
      </c>
      <c r="O420" s="32">
        <v>1.3889696014185517</v>
      </c>
      <c r="P420" s="128" t="str">
        <f t="shared" si="39"/>
        <v/>
      </c>
      <c r="Q420" s="128" t="str">
        <f t="shared" si="40"/>
        <v/>
      </c>
      <c r="R420" s="128" t="str">
        <f t="shared" si="41"/>
        <v/>
      </c>
      <c r="S420" s="118"/>
      <c r="T420" s="104"/>
      <c r="U420" s="104"/>
      <c r="V420" s="104"/>
      <c r="W420" s="104"/>
      <c r="Y420"/>
    </row>
    <row r="421" spans="1:30" s="47" customFormat="1" x14ac:dyDescent="0.3">
      <c r="A421" s="40">
        <v>1035</v>
      </c>
      <c r="B421" s="45">
        <v>-32.230815704907968</v>
      </c>
      <c r="C421" s="45">
        <v>-30.086188829806474</v>
      </c>
      <c r="D421" s="45">
        <v>-29.109075824087721</v>
      </c>
      <c r="E421" s="64"/>
      <c r="F421" s="64"/>
      <c r="G421" s="45"/>
      <c r="H421" s="45"/>
      <c r="I421" s="43"/>
      <c r="J421" s="4" t="s">
        <v>18</v>
      </c>
      <c r="K421" s="46">
        <f t="shared" si="38"/>
        <v>-30.475360119600722</v>
      </c>
      <c r="L421" s="32">
        <v>29.109075824087721</v>
      </c>
      <c r="M421" s="32">
        <v>0.9771130057187527</v>
      </c>
      <c r="N421" s="32">
        <v>2.1446268751014941</v>
      </c>
      <c r="O421" s="32">
        <v>2.0494264432694997</v>
      </c>
      <c r="P421" s="128" t="str">
        <f t="shared" si="39"/>
        <v/>
      </c>
      <c r="Q421" s="128" t="str">
        <f t="shared" si="40"/>
        <v/>
      </c>
      <c r="R421" s="128" t="str">
        <f t="shared" si="41"/>
        <v/>
      </c>
      <c r="S421" s="118"/>
      <c r="T421" s="104"/>
      <c r="U421" s="104"/>
      <c r="V421" s="104"/>
      <c r="W421" s="104"/>
      <c r="Y421"/>
    </row>
    <row r="422" spans="1:30" s="47" customFormat="1" x14ac:dyDescent="0.3">
      <c r="A422" s="40">
        <v>1036</v>
      </c>
      <c r="B422" s="45">
        <v>-31.629651907798202</v>
      </c>
      <c r="C422" s="45">
        <v>-30.460811656171433</v>
      </c>
      <c r="D422" s="45">
        <v>-29.472238226898288</v>
      </c>
      <c r="E422" s="64"/>
      <c r="F422" s="64"/>
      <c r="G422" s="45"/>
      <c r="H422" s="45"/>
      <c r="I422" s="43"/>
      <c r="J422" s="4" t="s">
        <v>18</v>
      </c>
      <c r="K422" s="46">
        <f t="shared" si="38"/>
        <v>-30.520900596955972</v>
      </c>
      <c r="L422" s="32">
        <v>29.472238226898288</v>
      </c>
      <c r="M422" s="32">
        <v>0.98857342927314562</v>
      </c>
      <c r="N422" s="32">
        <v>1.1688402516267686</v>
      </c>
      <c r="O422" s="32">
        <v>1.5729935550865299</v>
      </c>
      <c r="P422" s="128" t="str">
        <f t="shared" si="39"/>
        <v/>
      </c>
      <c r="Q422" s="128" t="str">
        <f t="shared" si="40"/>
        <v/>
      </c>
      <c r="R422" s="128" t="str">
        <f t="shared" si="41"/>
        <v/>
      </c>
      <c r="S422" s="118"/>
      <c r="T422" s="104"/>
      <c r="U422" s="104"/>
      <c r="V422" s="104"/>
      <c r="W422" s="104"/>
      <c r="Y422"/>
    </row>
    <row r="423" spans="1:30" s="47" customFormat="1" x14ac:dyDescent="0.3">
      <c r="A423" s="40">
        <v>1037</v>
      </c>
      <c r="B423" s="45">
        <v>-31.760321459137131</v>
      </c>
      <c r="C423" s="45">
        <v>-31.047489639140402</v>
      </c>
      <c r="D423" s="45">
        <v>-29.237714323153703</v>
      </c>
      <c r="E423" s="64"/>
      <c r="F423" s="64"/>
      <c r="G423" s="45"/>
      <c r="H423" s="45"/>
      <c r="I423" s="43"/>
      <c r="J423" s="4" t="s">
        <v>18</v>
      </c>
      <c r="K423" s="46">
        <f t="shared" si="38"/>
        <v>-30.681841807143744</v>
      </c>
      <c r="L423" s="32">
        <v>29.237714323153703</v>
      </c>
      <c r="M423" s="32">
        <v>1.8097753159866983</v>
      </c>
      <c r="N423" s="32">
        <v>0.71283181999672962</v>
      </c>
      <c r="O423" s="32">
        <v>2.1661912259850631</v>
      </c>
      <c r="P423" s="128" t="str">
        <f t="shared" si="39"/>
        <v/>
      </c>
      <c r="Q423" s="128" t="str">
        <f t="shared" si="40"/>
        <v/>
      </c>
      <c r="R423" s="128" t="str">
        <f t="shared" si="41"/>
        <v/>
      </c>
      <c r="S423" s="118"/>
      <c r="T423" s="104"/>
      <c r="U423" s="104"/>
      <c r="V423" s="104"/>
      <c r="W423" s="104"/>
      <c r="Y423"/>
    </row>
    <row r="424" spans="1:30" s="47" customFormat="1" x14ac:dyDescent="0.3">
      <c r="A424" s="40">
        <v>1038</v>
      </c>
      <c r="B424" s="45">
        <v>-33.39458564555558</v>
      </c>
      <c r="C424" s="45">
        <v>-30.865021864507067</v>
      </c>
      <c r="D424" s="45">
        <v>-29.431743775744469</v>
      </c>
      <c r="E424" s="64"/>
      <c r="F424" s="64"/>
      <c r="G424" s="45"/>
      <c r="H424" s="45"/>
      <c r="I424" s="43"/>
      <c r="J424" s="4" t="s">
        <v>18</v>
      </c>
      <c r="K424" s="46">
        <f t="shared" si="38"/>
        <v>-31.230450428602371</v>
      </c>
      <c r="L424" s="32">
        <v>29.431743775744469</v>
      </c>
      <c r="M424" s="32">
        <v>1.4332780887625987</v>
      </c>
      <c r="N424" s="32">
        <v>2.5295637810485125</v>
      </c>
      <c r="O424" s="32">
        <v>2.6980599792868567</v>
      </c>
      <c r="P424" s="128" t="str">
        <f t="shared" si="39"/>
        <v/>
      </c>
      <c r="Q424" s="128" t="str">
        <f t="shared" si="40"/>
        <v/>
      </c>
      <c r="R424" s="128" t="str">
        <f t="shared" si="41"/>
        <v/>
      </c>
      <c r="S424" s="118"/>
      <c r="T424" s="104"/>
      <c r="U424" s="104"/>
      <c r="V424" s="104"/>
      <c r="W424" s="104"/>
      <c r="Y424"/>
    </row>
    <row r="425" spans="1:30" s="47" customFormat="1" x14ac:dyDescent="0.3">
      <c r="A425" s="40">
        <v>1039</v>
      </c>
      <c r="B425" s="45">
        <v>-30.318323628589667</v>
      </c>
      <c r="C425" s="45">
        <v>-30.641185955181385</v>
      </c>
      <c r="D425" s="45">
        <v>-29.327057624431607</v>
      </c>
      <c r="E425" s="64"/>
      <c r="F425" s="64"/>
      <c r="G425" s="45"/>
      <c r="H425" s="45"/>
      <c r="I425" s="43"/>
      <c r="J425" s="4" t="s">
        <v>18</v>
      </c>
      <c r="K425" s="46">
        <f t="shared" si="38"/>
        <v>-30.095522402734218</v>
      </c>
      <c r="L425" s="32">
        <v>29.327057624431607</v>
      </c>
      <c r="M425" s="32">
        <v>1.314128330749778</v>
      </c>
      <c r="N425" s="32">
        <v>-0.32286232659171787</v>
      </c>
      <c r="O425" s="32">
        <v>1.152697167453919</v>
      </c>
      <c r="P425" s="128" t="str">
        <f t="shared" si="39"/>
        <v/>
      </c>
      <c r="Q425" s="128" t="str">
        <f t="shared" si="40"/>
        <v/>
      </c>
      <c r="R425" s="128" t="str">
        <f t="shared" si="41"/>
        <v/>
      </c>
      <c r="S425" s="118"/>
      <c r="T425" s="104"/>
      <c r="U425" s="104"/>
      <c r="V425" s="104"/>
      <c r="W425" s="104"/>
      <c r="Y425"/>
    </row>
    <row r="426" spans="1:30" s="47" customFormat="1" x14ac:dyDescent="0.3">
      <c r="A426" s="40">
        <v>1040</v>
      </c>
      <c r="B426" s="45">
        <v>-31.678751771250596</v>
      </c>
      <c r="C426" s="45">
        <v>-31.107299972991552</v>
      </c>
      <c r="D426" s="45">
        <v>-29.689067827708456</v>
      </c>
      <c r="E426" s="64"/>
      <c r="F426" s="64"/>
      <c r="G426" s="45"/>
      <c r="H426" s="45"/>
      <c r="I426" s="43"/>
      <c r="J426" s="4" t="s">
        <v>18</v>
      </c>
      <c r="K426" s="46">
        <f t="shared" si="38"/>
        <v>-30.825039857316867</v>
      </c>
      <c r="L426" s="32">
        <v>29.689067827708456</v>
      </c>
      <c r="M426" s="32">
        <v>1.4182321452830955</v>
      </c>
      <c r="N426" s="32">
        <v>0.57145179825904435</v>
      </c>
      <c r="O426" s="32">
        <v>1.7039580444126159</v>
      </c>
      <c r="P426" s="128" t="str">
        <f t="shared" si="39"/>
        <v/>
      </c>
      <c r="Q426" s="128" t="str">
        <f t="shared" si="40"/>
        <v/>
      </c>
      <c r="R426" s="128" t="str">
        <f t="shared" si="41"/>
        <v/>
      </c>
      <c r="S426" s="118"/>
      <c r="T426" s="104"/>
      <c r="U426" s="104"/>
      <c r="V426" s="104"/>
      <c r="W426" s="104"/>
      <c r="Y426"/>
    </row>
    <row r="427" spans="1:30" x14ac:dyDescent="0.3">
      <c r="A427" s="4">
        <v>1041</v>
      </c>
      <c r="B427" s="8">
        <v>-31.265068338372021</v>
      </c>
      <c r="C427" s="8">
        <v>-30.632741310568363</v>
      </c>
      <c r="D427" s="8">
        <v>-30.015536516157759</v>
      </c>
      <c r="E427" s="8">
        <v>-29.893093816032334</v>
      </c>
      <c r="F427" s="21"/>
      <c r="G427" s="8"/>
      <c r="H427" s="8"/>
      <c r="I427" s="6"/>
      <c r="J427" s="4" t="s">
        <v>18</v>
      </c>
      <c r="K427" s="32">
        <f t="shared" si="38"/>
        <v>-30.45160999528262</v>
      </c>
      <c r="L427" s="32">
        <v>0.12244270012542557</v>
      </c>
      <c r="M427" s="32">
        <v>0.61720479441060405</v>
      </c>
      <c r="N427" s="32">
        <v>0.63232702780365813</v>
      </c>
      <c r="O427" s="32">
        <v>0.99458965837514413</v>
      </c>
      <c r="P427" s="128">
        <f t="shared" si="39"/>
        <v>1.2495318222142622</v>
      </c>
      <c r="Q427" s="128">
        <f t="shared" si="40"/>
        <v>0.61720479441060405</v>
      </c>
      <c r="R427" s="128">
        <f t="shared" si="41"/>
        <v>0.93336830831243134</v>
      </c>
      <c r="S427" s="115">
        <v>0</v>
      </c>
      <c r="T427" s="99">
        <v>0</v>
      </c>
      <c r="U427" s="99">
        <v>0</v>
      </c>
      <c r="V427" s="99">
        <v>0</v>
      </c>
      <c r="W427" s="99">
        <v>0</v>
      </c>
      <c r="X427" t="s">
        <v>16</v>
      </c>
      <c r="AC427"/>
      <c r="AD427"/>
    </row>
    <row r="428" spans="1:30" x14ac:dyDescent="0.3">
      <c r="A428" s="4">
        <v>1042</v>
      </c>
      <c r="B428" s="8">
        <v>-31.047616423209639</v>
      </c>
      <c r="C428" s="8">
        <v>-30.660422922897524</v>
      </c>
      <c r="D428" s="8">
        <v>-30.274165076048529</v>
      </c>
      <c r="E428" s="8">
        <v>-30.179404987768137</v>
      </c>
      <c r="F428" s="21"/>
      <c r="G428" s="8"/>
      <c r="H428" s="8"/>
      <c r="I428" s="6"/>
      <c r="J428" s="4" t="s">
        <v>18</v>
      </c>
      <c r="K428" s="32">
        <f t="shared" si="38"/>
        <v>-30.540402352480957</v>
      </c>
      <c r="L428" s="32">
        <v>9.4760088280391841E-2</v>
      </c>
      <c r="M428" s="32">
        <v>0.386257846848995</v>
      </c>
      <c r="N428" s="32">
        <v>0.38719350031211519</v>
      </c>
      <c r="O428" s="32">
        <v>0.62723464114524674</v>
      </c>
      <c r="P428" s="128">
        <f t="shared" si="39"/>
        <v>0.77345134716111019</v>
      </c>
      <c r="Q428" s="128">
        <f t="shared" si="40"/>
        <v>0.386257846848995</v>
      </c>
      <c r="R428" s="128">
        <f t="shared" si="41"/>
        <v>0.5798545970050526</v>
      </c>
      <c r="S428" s="115">
        <v>0</v>
      </c>
      <c r="T428" s="99">
        <v>0</v>
      </c>
      <c r="U428" s="99">
        <v>0</v>
      </c>
      <c r="V428" s="99">
        <v>0</v>
      </c>
      <c r="W428" s="99">
        <v>0</v>
      </c>
      <c r="X428" t="s">
        <v>16</v>
      </c>
      <c r="AC428"/>
      <c r="AD428"/>
    </row>
    <row r="429" spans="1:30" x14ac:dyDescent="0.3">
      <c r="A429" s="4">
        <v>1043</v>
      </c>
      <c r="B429" s="8">
        <v>-30.35610444391439</v>
      </c>
      <c r="C429" s="8">
        <v>-29.760785322611376</v>
      </c>
      <c r="D429" s="8">
        <v>-26.315430363495651</v>
      </c>
      <c r="E429" s="8">
        <v>-30.382801445317781</v>
      </c>
      <c r="F429" s="21"/>
      <c r="G429" s="8"/>
      <c r="H429" s="8"/>
      <c r="I429" s="6"/>
      <c r="J429" s="4" t="s">
        <v>18</v>
      </c>
      <c r="K429" s="32">
        <f t="shared" si="38"/>
        <v>-29.203780393834801</v>
      </c>
      <c r="L429" s="32">
        <v>-4.0673710818221309</v>
      </c>
      <c r="M429" s="32">
        <v>3.4453549591157255</v>
      </c>
      <c r="N429" s="32">
        <v>0.59531912130301379</v>
      </c>
      <c r="O429" s="32">
        <v>1.709328978856167</v>
      </c>
      <c r="P429" s="128">
        <f t="shared" si="39"/>
        <v>-2.6697001403391596E-2</v>
      </c>
      <c r="Q429" s="128">
        <f t="shared" si="40"/>
        <v>-0.62201612270640538</v>
      </c>
      <c r="R429" s="128">
        <f t="shared" si="41"/>
        <v>-0.32435656205489849</v>
      </c>
      <c r="S429" s="115">
        <v>0</v>
      </c>
      <c r="T429" s="99">
        <v>0</v>
      </c>
      <c r="U429" s="99">
        <v>0</v>
      </c>
      <c r="V429" s="99">
        <v>0</v>
      </c>
      <c r="W429" s="99">
        <v>0</v>
      </c>
      <c r="X429" t="s">
        <v>16</v>
      </c>
      <c r="AC429"/>
      <c r="AD429"/>
    </row>
    <row r="430" spans="1:30" x14ac:dyDescent="0.3">
      <c r="A430" s="4">
        <v>1044</v>
      </c>
      <c r="B430" s="8">
        <v>-30.796533014904931</v>
      </c>
      <c r="C430" s="8">
        <v>-30.680394172835761</v>
      </c>
      <c r="D430" s="8">
        <v>-29.677973484330572</v>
      </c>
      <c r="E430" s="8">
        <v>-30.199955162125747</v>
      </c>
      <c r="F430" s="21"/>
      <c r="G430" s="8"/>
      <c r="H430" s="8"/>
      <c r="I430" s="6"/>
      <c r="J430" s="4" t="s">
        <v>18</v>
      </c>
      <c r="K430" s="32">
        <f t="shared" si="38"/>
        <v>-30.338713958549253</v>
      </c>
      <c r="L430" s="32">
        <v>-0.5219816777951749</v>
      </c>
      <c r="M430" s="32">
        <v>1.0024206885051896</v>
      </c>
      <c r="N430" s="32">
        <v>0.11613884206916936</v>
      </c>
      <c r="O430" s="32">
        <v>0.79949927064218684</v>
      </c>
      <c r="P430" s="128">
        <f t="shared" si="39"/>
        <v>0.59657785277918407</v>
      </c>
      <c r="Q430" s="128">
        <f t="shared" si="40"/>
        <v>0.48043901071001471</v>
      </c>
      <c r="R430" s="128">
        <f t="shared" si="41"/>
        <v>0.53850843174459939</v>
      </c>
      <c r="S430" s="115">
        <v>0</v>
      </c>
      <c r="T430" s="99">
        <v>0</v>
      </c>
      <c r="U430" s="99">
        <v>0</v>
      </c>
      <c r="V430" s="99">
        <v>0</v>
      </c>
      <c r="W430" s="99">
        <v>0</v>
      </c>
      <c r="X430" t="s">
        <v>16</v>
      </c>
      <c r="AC430"/>
      <c r="AD430"/>
    </row>
    <row r="431" spans="1:30" x14ac:dyDescent="0.3">
      <c r="A431" s="4">
        <v>1045</v>
      </c>
      <c r="B431" s="8">
        <v>-30.853206082426567</v>
      </c>
      <c r="C431" s="8">
        <v>-29.841073541054822</v>
      </c>
      <c r="D431" s="8">
        <v>-28.537128582177985</v>
      </c>
      <c r="E431" s="8">
        <v>-29.633995881823687</v>
      </c>
      <c r="F431" s="21"/>
      <c r="G431" s="8"/>
      <c r="H431" s="8"/>
      <c r="I431" s="6"/>
      <c r="J431" s="4" t="s">
        <v>18</v>
      </c>
      <c r="K431" s="32">
        <f t="shared" si="38"/>
        <v>-29.716351021870764</v>
      </c>
      <c r="L431" s="32">
        <v>-1.0968672996457016</v>
      </c>
      <c r="M431" s="32">
        <v>1.303944958876837</v>
      </c>
      <c r="N431" s="32">
        <v>1.012132541371745</v>
      </c>
      <c r="O431" s="32">
        <v>1.2615775797398605</v>
      </c>
      <c r="P431" s="128">
        <f t="shared" si="39"/>
        <v>1.2192102006028804</v>
      </c>
      <c r="Q431" s="128">
        <f t="shared" si="40"/>
        <v>0.20707765923113541</v>
      </c>
      <c r="R431" s="128">
        <f t="shared" si="41"/>
        <v>0.7131439299170097</v>
      </c>
      <c r="S431" s="115">
        <v>0</v>
      </c>
      <c r="T431" s="99">
        <v>0</v>
      </c>
      <c r="U431" s="99">
        <v>0</v>
      </c>
      <c r="V431" s="99">
        <v>0</v>
      </c>
      <c r="W431" s="99">
        <v>0</v>
      </c>
      <c r="X431" t="s">
        <v>16</v>
      </c>
      <c r="AC431"/>
      <c r="AD431"/>
    </row>
    <row r="432" spans="1:30" x14ac:dyDescent="0.3">
      <c r="A432" s="4">
        <v>1046</v>
      </c>
      <c r="B432" s="8">
        <v>-31.337351051131087</v>
      </c>
      <c r="C432" s="8">
        <v>-30.463783050735657</v>
      </c>
      <c r="D432" s="8">
        <v>-30.102579731835938</v>
      </c>
      <c r="E432" s="8">
        <v>-30.030969524892271</v>
      </c>
      <c r="F432" s="21"/>
      <c r="G432" s="8"/>
      <c r="H432" s="8"/>
      <c r="I432" s="6"/>
      <c r="J432" s="4" t="s">
        <v>18</v>
      </c>
      <c r="K432" s="32">
        <f t="shared" si="38"/>
        <v>-30.483670839648738</v>
      </c>
      <c r="L432" s="32">
        <v>7.1610206943667265E-2</v>
      </c>
      <c r="M432" s="32">
        <v>0.36120331889971879</v>
      </c>
      <c r="N432" s="32">
        <v>0.87356800039543003</v>
      </c>
      <c r="O432" s="32">
        <v>0.83379242256926744</v>
      </c>
      <c r="P432" s="128">
        <f t="shared" si="39"/>
        <v>1.2347713192951488</v>
      </c>
      <c r="Q432" s="128">
        <f t="shared" si="40"/>
        <v>0.36120331889971879</v>
      </c>
      <c r="R432" s="128">
        <f t="shared" si="41"/>
        <v>0.79798731909743381</v>
      </c>
      <c r="S432" s="115">
        <v>0</v>
      </c>
      <c r="T432" s="99">
        <v>0</v>
      </c>
      <c r="U432" s="99">
        <v>0</v>
      </c>
      <c r="V432" s="99">
        <v>0</v>
      </c>
      <c r="W432" s="99">
        <v>0</v>
      </c>
      <c r="X432" t="s">
        <v>16</v>
      </c>
      <c r="AC432"/>
      <c r="AD432"/>
    </row>
    <row r="433" spans="1:30" x14ac:dyDescent="0.3">
      <c r="A433" s="4">
        <v>1047</v>
      </c>
      <c r="B433" s="8">
        <v>-31.444833283406268</v>
      </c>
      <c r="C433" s="8">
        <v>-30.370863274837511</v>
      </c>
      <c r="D433" s="8">
        <v>-30.104371724983416</v>
      </c>
      <c r="E433" s="8">
        <v>-31.415376470834296</v>
      </c>
      <c r="F433" s="21"/>
      <c r="G433" s="8"/>
      <c r="H433" s="8"/>
      <c r="I433" s="6"/>
      <c r="J433" s="4" t="s">
        <v>18</v>
      </c>
      <c r="K433" s="32">
        <f t="shared" si="38"/>
        <v>-30.833861188515371</v>
      </c>
      <c r="L433" s="32">
        <v>-1.3110047458508802</v>
      </c>
      <c r="M433" s="32">
        <v>0.26649154985409496</v>
      </c>
      <c r="N433" s="32">
        <v>1.0739700085687574</v>
      </c>
      <c r="O433" s="32">
        <v>0.14797418121303352</v>
      </c>
      <c r="P433" s="128">
        <f t="shared" si="39"/>
        <v>2.945681257197208E-2</v>
      </c>
      <c r="Q433" s="128">
        <f t="shared" si="40"/>
        <v>-1.0445131959967853</v>
      </c>
      <c r="R433" s="128">
        <f t="shared" si="41"/>
        <v>-0.5075281917124066</v>
      </c>
      <c r="S433" s="115">
        <v>0</v>
      </c>
      <c r="T433" s="99">
        <v>0</v>
      </c>
      <c r="U433" s="99">
        <v>0</v>
      </c>
      <c r="V433" s="99">
        <v>0</v>
      </c>
      <c r="W433" s="99">
        <v>0</v>
      </c>
      <c r="X433" t="s">
        <v>16</v>
      </c>
      <c r="AC433"/>
      <c r="AD433"/>
    </row>
    <row r="434" spans="1:30" x14ac:dyDescent="0.3">
      <c r="A434" s="4">
        <v>1048</v>
      </c>
      <c r="B434" s="8">
        <v>-31.680279373646066</v>
      </c>
      <c r="C434" s="8">
        <v>-31.076575149252612</v>
      </c>
      <c r="D434" s="8">
        <v>-29.423040472991318</v>
      </c>
      <c r="E434" s="8">
        <v>-30.499464518533571</v>
      </c>
      <c r="F434" s="21"/>
      <c r="G434" s="8"/>
      <c r="H434" s="8"/>
      <c r="I434" s="6"/>
      <c r="J434" s="4" t="s">
        <v>18</v>
      </c>
      <c r="K434" s="32">
        <f t="shared" si="38"/>
        <v>-30.669839878605892</v>
      </c>
      <c r="L434" s="32">
        <v>-1.0764240455422538</v>
      </c>
      <c r="M434" s="32">
        <v>1.6535346762612946</v>
      </c>
      <c r="N434" s="32">
        <v>0.60370422439345361</v>
      </c>
      <c r="O434" s="32">
        <v>1.4171747656868945</v>
      </c>
      <c r="P434" s="128">
        <f t="shared" si="39"/>
        <v>1.1808148551124944</v>
      </c>
      <c r="Q434" s="128">
        <f t="shared" si="40"/>
        <v>0.57711063071904078</v>
      </c>
      <c r="R434" s="128">
        <f t="shared" si="41"/>
        <v>0.87896274291576759</v>
      </c>
      <c r="S434" s="115">
        <v>0</v>
      </c>
      <c r="T434" s="99">
        <v>0</v>
      </c>
      <c r="U434" s="99">
        <v>0</v>
      </c>
      <c r="V434" s="99">
        <v>0</v>
      </c>
      <c r="W434" s="99">
        <v>0</v>
      </c>
      <c r="X434" t="s">
        <v>16</v>
      </c>
      <c r="AC434"/>
      <c r="AD434"/>
    </row>
    <row r="435" spans="1:30" x14ac:dyDescent="0.3">
      <c r="A435" s="4">
        <v>1049</v>
      </c>
      <c r="B435" s="8">
        <v>-31.459740104036911</v>
      </c>
      <c r="C435" s="8">
        <v>-30.884021391078853</v>
      </c>
      <c r="D435" s="8">
        <v>-30.283654181700989</v>
      </c>
      <c r="E435" s="8">
        <v>-30.223423359147272</v>
      </c>
      <c r="F435" s="21"/>
      <c r="G435" s="8"/>
      <c r="H435" s="8"/>
      <c r="I435" s="6"/>
      <c r="J435" s="4" t="s">
        <v>18</v>
      </c>
      <c r="K435" s="32">
        <f t="shared" si="38"/>
        <v>-30.712709758991007</v>
      </c>
      <c r="L435" s="32">
        <v>6.0230822553716479E-2</v>
      </c>
      <c r="M435" s="32">
        <v>0.6003672093778647</v>
      </c>
      <c r="N435" s="32">
        <v>0.57571871295805721</v>
      </c>
      <c r="O435" s="32">
        <v>0.91834197713375332</v>
      </c>
      <c r="P435" s="128">
        <f t="shared" si="39"/>
        <v>1.1760859223359219</v>
      </c>
      <c r="Q435" s="128">
        <f t="shared" si="40"/>
        <v>0.6003672093778647</v>
      </c>
      <c r="R435" s="128">
        <f t="shared" si="41"/>
        <v>0.8882265658568933</v>
      </c>
      <c r="S435" s="115">
        <v>0</v>
      </c>
      <c r="T435" s="99">
        <v>0</v>
      </c>
      <c r="U435" s="99">
        <v>0</v>
      </c>
      <c r="V435" s="99">
        <v>0</v>
      </c>
      <c r="W435" s="99">
        <v>0</v>
      </c>
      <c r="X435" t="s">
        <v>16</v>
      </c>
      <c r="AC435"/>
      <c r="AD435"/>
    </row>
    <row r="436" spans="1:30" x14ac:dyDescent="0.3">
      <c r="A436" s="4">
        <v>1050</v>
      </c>
      <c r="B436" s="8">
        <v>-31.378274157729287</v>
      </c>
      <c r="C436" s="8">
        <v>-31.081806829752654</v>
      </c>
      <c r="D436" s="8">
        <v>-29.753332393521667</v>
      </c>
      <c r="E436" s="8">
        <v>-31.101195993459584</v>
      </c>
      <c r="F436" s="21"/>
      <c r="G436" s="8"/>
      <c r="H436" s="8"/>
      <c r="I436" s="6"/>
      <c r="J436" s="4" t="s">
        <v>18</v>
      </c>
      <c r="K436" s="32">
        <f t="shared" si="38"/>
        <v>-30.828652343615801</v>
      </c>
      <c r="L436" s="32">
        <v>-1.3478635999379165</v>
      </c>
      <c r="M436" s="32">
        <v>1.3284744362309873</v>
      </c>
      <c r="N436" s="32">
        <v>0.29646732797663233</v>
      </c>
      <c r="O436" s="32">
        <v>0.80277630025034696</v>
      </c>
      <c r="P436" s="128">
        <f t="shared" si="39"/>
        <v>0.27707816426970311</v>
      </c>
      <c r="Q436" s="128">
        <f t="shared" si="40"/>
        <v>-1.9389163706929224E-2</v>
      </c>
      <c r="R436" s="128">
        <f t="shared" si="41"/>
        <v>0.12884450028138872</v>
      </c>
      <c r="S436" s="115">
        <v>0</v>
      </c>
      <c r="T436" s="99">
        <v>0</v>
      </c>
      <c r="U436" s="99">
        <v>0</v>
      </c>
      <c r="V436" s="99">
        <v>0</v>
      </c>
      <c r="W436" s="99">
        <v>0</v>
      </c>
      <c r="X436" t="s">
        <v>16</v>
      </c>
      <c r="AC436"/>
      <c r="AD436"/>
    </row>
    <row r="437" spans="1:30" s="47" customFormat="1" x14ac:dyDescent="0.3">
      <c r="A437" s="40">
        <v>1051</v>
      </c>
      <c r="B437" s="45">
        <v>-31.761731602124051</v>
      </c>
      <c r="C437" s="45">
        <v>-31.314043457019995</v>
      </c>
      <c r="D437" s="45">
        <v>-30.442047693810668</v>
      </c>
      <c r="E437" s="64"/>
      <c r="F437" s="64"/>
      <c r="G437" s="45"/>
      <c r="H437" s="45"/>
      <c r="I437" s="43"/>
      <c r="J437" s="4" t="s">
        <v>18</v>
      </c>
      <c r="K437" s="46">
        <f t="shared" si="38"/>
        <v>-31.172607584318239</v>
      </c>
      <c r="L437" s="32">
        <v>30.442047693810668</v>
      </c>
      <c r="M437" s="32">
        <v>0.87199576320932692</v>
      </c>
      <c r="N437" s="32">
        <v>0.44768814510405619</v>
      </c>
      <c r="O437" s="32">
        <v>1.0958398357613568</v>
      </c>
      <c r="P437" s="128" t="str">
        <f t="shared" si="39"/>
        <v/>
      </c>
      <c r="Q437" s="128" t="str">
        <f t="shared" si="40"/>
        <v/>
      </c>
      <c r="R437" s="128" t="str">
        <f t="shared" si="41"/>
        <v/>
      </c>
      <c r="S437" s="118"/>
      <c r="T437" s="104">
        <v>0</v>
      </c>
      <c r="U437" s="104">
        <v>0</v>
      </c>
      <c r="V437" s="99">
        <v>0</v>
      </c>
      <c r="W437" s="104"/>
      <c r="Y437"/>
    </row>
    <row r="438" spans="1:30" s="47" customFormat="1" x14ac:dyDescent="0.3">
      <c r="A438" s="40">
        <v>1052</v>
      </c>
      <c r="B438" s="45">
        <v>-32.231549268342548</v>
      </c>
      <c r="C438" s="45">
        <v>-30.703150923714702</v>
      </c>
      <c r="D438" s="45">
        <v>-30.029885120616157</v>
      </c>
      <c r="E438" s="64"/>
      <c r="F438" s="64"/>
      <c r="G438" s="45"/>
      <c r="H438" s="45"/>
      <c r="I438" s="43"/>
      <c r="J438" s="4" t="s">
        <v>18</v>
      </c>
      <c r="K438" s="46">
        <f t="shared" si="38"/>
        <v>-30.98819510422447</v>
      </c>
      <c r="L438" s="32">
        <v>30.029885120616157</v>
      </c>
      <c r="M438" s="32">
        <v>0.67326580309854478</v>
      </c>
      <c r="N438" s="32">
        <v>1.5283983446278455</v>
      </c>
      <c r="O438" s="32">
        <v>1.4374649754124675</v>
      </c>
      <c r="P438" s="128" t="str">
        <f t="shared" si="39"/>
        <v/>
      </c>
      <c r="Q438" s="128" t="str">
        <f t="shared" si="40"/>
        <v/>
      </c>
      <c r="R438" s="128" t="str">
        <f t="shared" si="41"/>
        <v/>
      </c>
      <c r="S438" s="118"/>
      <c r="T438" s="104">
        <v>0</v>
      </c>
      <c r="U438" s="104">
        <v>0</v>
      </c>
      <c r="V438" s="99">
        <v>0</v>
      </c>
      <c r="W438" s="104"/>
      <c r="Y438"/>
    </row>
    <row r="439" spans="1:30" s="47" customFormat="1" x14ac:dyDescent="0.3">
      <c r="A439" s="40">
        <v>1053</v>
      </c>
      <c r="B439" s="45">
        <v>-31.489266248512706</v>
      </c>
      <c r="C439" s="45">
        <v>-30.89602702393416</v>
      </c>
      <c r="D439" s="45">
        <v>-29.789595497175412</v>
      </c>
      <c r="E439" s="64"/>
      <c r="F439" s="64"/>
      <c r="G439" s="45"/>
      <c r="H439" s="45"/>
      <c r="I439" s="43"/>
      <c r="J439" s="4" t="s">
        <v>18</v>
      </c>
      <c r="K439" s="46">
        <f t="shared" si="38"/>
        <v>-30.724962923207425</v>
      </c>
      <c r="L439" s="32">
        <v>29.789595497175412</v>
      </c>
      <c r="M439" s="32">
        <v>1.1064315267587475</v>
      </c>
      <c r="N439" s="32">
        <v>0.5932392245785465</v>
      </c>
      <c r="O439" s="32">
        <v>1.4030511390480207</v>
      </c>
      <c r="P439" s="128" t="str">
        <f t="shared" si="39"/>
        <v/>
      </c>
      <c r="Q439" s="128" t="str">
        <f t="shared" si="40"/>
        <v/>
      </c>
      <c r="R439" s="128" t="str">
        <f t="shared" si="41"/>
        <v/>
      </c>
      <c r="S439" s="118"/>
      <c r="T439" s="104">
        <v>0</v>
      </c>
      <c r="U439" s="104">
        <v>0</v>
      </c>
      <c r="V439" s="99">
        <v>0</v>
      </c>
      <c r="W439" s="104"/>
      <c r="Y439"/>
    </row>
    <row r="440" spans="1:30" x14ac:dyDescent="0.3">
      <c r="A440" s="4">
        <v>1054</v>
      </c>
      <c r="B440" s="8">
        <v>-31.666353488015694</v>
      </c>
      <c r="C440" s="8">
        <v>-30.76518620266901</v>
      </c>
      <c r="D440" s="8">
        <v>-30.164445482575044</v>
      </c>
      <c r="E440" s="8">
        <v>-30.203998184054356</v>
      </c>
      <c r="F440" s="21"/>
      <c r="G440" s="8"/>
      <c r="H440" s="8"/>
      <c r="I440" s="6"/>
      <c r="J440" s="4" t="s">
        <v>18</v>
      </c>
      <c r="K440" s="32">
        <f t="shared" si="38"/>
        <v>-30.699995839328526</v>
      </c>
      <c r="L440" s="32">
        <v>-3.9552701479312447E-2</v>
      </c>
      <c r="M440" s="32">
        <v>0.60074072009396673</v>
      </c>
      <c r="N440" s="32">
        <v>0.90116728534668411</v>
      </c>
      <c r="O440" s="32">
        <v>1.031548012027649</v>
      </c>
      <c r="P440" s="128">
        <f t="shared" si="39"/>
        <v>1.4623553039613384</v>
      </c>
      <c r="Q440" s="128">
        <f t="shared" si="40"/>
        <v>0.56118801861465428</v>
      </c>
      <c r="R440" s="128">
        <f t="shared" si="41"/>
        <v>1.0117716612879946</v>
      </c>
      <c r="S440" s="115">
        <v>0</v>
      </c>
      <c r="T440" s="99">
        <v>0</v>
      </c>
      <c r="U440" s="99">
        <v>0</v>
      </c>
      <c r="V440" s="99">
        <v>0</v>
      </c>
      <c r="W440" s="99">
        <v>0</v>
      </c>
      <c r="X440" t="s">
        <v>16</v>
      </c>
      <c r="AC440"/>
      <c r="AD440"/>
    </row>
    <row r="441" spans="1:30" x14ac:dyDescent="0.3">
      <c r="A441" s="4">
        <v>1055</v>
      </c>
      <c r="B441" s="8">
        <v>-32.047953455214817</v>
      </c>
      <c r="C441" s="8">
        <v>-31.002174861647617</v>
      </c>
      <c r="D441" s="8">
        <v>-30.117580590682671</v>
      </c>
      <c r="E441" s="8">
        <v>-30.692105926362608</v>
      </c>
      <c r="F441" s="21"/>
      <c r="G441" s="8"/>
      <c r="H441" s="8"/>
      <c r="I441" s="6"/>
      <c r="J441" s="4" t="s">
        <v>18</v>
      </c>
      <c r="K441" s="32">
        <f t="shared" si="38"/>
        <v>-30.964953708476926</v>
      </c>
      <c r="L441" s="32">
        <v>-0.57452533567993669</v>
      </c>
      <c r="M441" s="32">
        <v>0.88459427096494636</v>
      </c>
      <c r="N441" s="32">
        <v>1.0457785935671993</v>
      </c>
      <c r="O441" s="32">
        <v>1.1202208999085776</v>
      </c>
      <c r="P441" s="128">
        <f t="shared" si="39"/>
        <v>1.3558475288522089</v>
      </c>
      <c r="Q441" s="128">
        <f t="shared" si="40"/>
        <v>0.31006893528500967</v>
      </c>
      <c r="R441" s="128">
        <f t="shared" si="41"/>
        <v>0.83295823206860931</v>
      </c>
      <c r="S441" s="115">
        <v>0</v>
      </c>
      <c r="T441" s="99">
        <v>0</v>
      </c>
      <c r="U441" s="99">
        <v>0</v>
      </c>
      <c r="V441" s="99">
        <v>0</v>
      </c>
      <c r="W441" s="99">
        <v>0</v>
      </c>
      <c r="X441" t="s">
        <v>16</v>
      </c>
      <c r="AC441"/>
      <c r="AD441"/>
    </row>
    <row r="442" spans="1:30" x14ac:dyDescent="0.3">
      <c r="A442" s="4">
        <v>1056</v>
      </c>
      <c r="B442" s="8">
        <v>-31.348689233321167</v>
      </c>
      <c r="C442" s="8">
        <v>-30.974631158251899</v>
      </c>
      <c r="D442" s="8">
        <v>-27.349519160095511</v>
      </c>
      <c r="E442" s="8">
        <v>-31.200865550258968</v>
      </c>
      <c r="F442" s="21"/>
      <c r="G442" s="8"/>
      <c r="H442" s="8"/>
      <c r="I442" s="6"/>
      <c r="J442" s="4" t="s">
        <v>11</v>
      </c>
      <c r="K442" s="32">
        <f t="shared" si="38"/>
        <v>-30.218426275481885</v>
      </c>
      <c r="L442" s="32">
        <v>-3.8513463901634566</v>
      </c>
      <c r="M442" s="32">
        <v>3.6251119981563882</v>
      </c>
      <c r="N442" s="32">
        <v>0.37405807506926791</v>
      </c>
      <c r="O442" s="32">
        <v>1.8864678406092921</v>
      </c>
      <c r="P442" s="128">
        <f t="shared" si="39"/>
        <v>0.14782368306219951</v>
      </c>
      <c r="Q442" s="128">
        <f t="shared" si="40"/>
        <v>-0.22623439200706841</v>
      </c>
      <c r="R442" s="128">
        <f t="shared" si="41"/>
        <v>-3.9205354472436227E-2</v>
      </c>
      <c r="S442" s="115">
        <v>0</v>
      </c>
      <c r="T442" s="99">
        <v>0</v>
      </c>
      <c r="U442" s="99">
        <v>0</v>
      </c>
      <c r="V442" s="99">
        <v>0</v>
      </c>
      <c r="W442" s="99">
        <v>0</v>
      </c>
      <c r="X442" t="s">
        <v>17</v>
      </c>
      <c r="AC442"/>
      <c r="AD442"/>
    </row>
    <row r="443" spans="1:30" s="47" customFormat="1" x14ac:dyDescent="0.3">
      <c r="A443" s="40">
        <v>1109</v>
      </c>
      <c r="B443" s="45"/>
      <c r="C443" s="45"/>
      <c r="D443" s="45" t="str">
        <f t="shared" ref="D443:D458" si="42">IF(AND(ISBLANK(F443),ISBLANK(G443)),"",IF(ISBLANK(F443),G443,IF(ISBLANK(G443),F443,(G443+F443)/2)))</f>
        <v/>
      </c>
      <c r="E443" s="45"/>
      <c r="F443" s="45"/>
      <c r="G443" s="45"/>
      <c r="H443" s="63">
        <v>-27.423662895176808</v>
      </c>
      <c r="I443" s="43"/>
      <c r="J443" s="4" t="s">
        <v>11</v>
      </c>
      <c r="K443" s="46" t="e">
        <f t="shared" si="38"/>
        <v>#DIV/0!</v>
      </c>
      <c r="L443" s="32" t="e">
        <v>#VALUE!</v>
      </c>
      <c r="M443" s="32" t="e">
        <v>#VALUE!</v>
      </c>
      <c r="N443" s="32">
        <v>0</v>
      </c>
      <c r="O443" s="32" t="e">
        <v>#DIV/0!</v>
      </c>
      <c r="P443" s="128" t="str">
        <f t="shared" si="39"/>
        <v/>
      </c>
      <c r="Q443" s="128" t="str">
        <f t="shared" si="40"/>
        <v/>
      </c>
      <c r="R443" s="128" t="str">
        <f t="shared" si="41"/>
        <v/>
      </c>
      <c r="S443" s="118"/>
      <c r="T443" s="104"/>
      <c r="U443" s="104"/>
      <c r="V443" s="104"/>
      <c r="W443" s="104"/>
      <c r="Y443"/>
    </row>
    <row r="444" spans="1:30" s="47" customFormat="1" x14ac:dyDescent="0.3">
      <c r="A444" s="40">
        <v>1110</v>
      </c>
      <c r="B444" s="45"/>
      <c r="C444" s="45"/>
      <c r="D444" s="45" t="str">
        <f t="shared" si="42"/>
        <v/>
      </c>
      <c r="E444" s="45"/>
      <c r="F444" s="45"/>
      <c r="G444" s="45"/>
      <c r="H444" s="63">
        <v>-25.023174002322413</v>
      </c>
      <c r="I444" s="43"/>
      <c r="J444" s="4" t="s">
        <v>11</v>
      </c>
      <c r="K444" s="46" t="e">
        <f t="shared" si="38"/>
        <v>#DIV/0!</v>
      </c>
      <c r="L444" s="32" t="e">
        <v>#VALUE!</v>
      </c>
      <c r="M444" s="32" t="e">
        <v>#VALUE!</v>
      </c>
      <c r="N444" s="32">
        <v>0</v>
      </c>
      <c r="O444" s="32" t="e">
        <v>#DIV/0!</v>
      </c>
      <c r="P444" s="128" t="str">
        <f t="shared" si="39"/>
        <v/>
      </c>
      <c r="Q444" s="128" t="str">
        <f t="shared" si="40"/>
        <v/>
      </c>
      <c r="R444" s="128" t="str">
        <f t="shared" si="41"/>
        <v/>
      </c>
      <c r="S444" s="118"/>
      <c r="T444" s="104"/>
      <c r="U444" s="104"/>
      <c r="V444" s="104"/>
      <c r="W444" s="104"/>
      <c r="Y444"/>
    </row>
    <row r="445" spans="1:30" s="47" customFormat="1" x14ac:dyDescent="0.3">
      <c r="A445" s="40">
        <v>1111</v>
      </c>
      <c r="B445" s="45"/>
      <c r="C445" s="45"/>
      <c r="D445" s="45" t="str">
        <f t="shared" si="42"/>
        <v/>
      </c>
      <c r="E445" s="45"/>
      <c r="F445" s="45"/>
      <c r="G445" s="45"/>
      <c r="H445" s="63">
        <v>-25.020649849395305</v>
      </c>
      <c r="I445" s="43"/>
      <c r="J445" s="4" t="s">
        <v>11</v>
      </c>
      <c r="K445" s="46" t="e">
        <f t="shared" si="38"/>
        <v>#DIV/0!</v>
      </c>
      <c r="L445" s="32" t="e">
        <v>#VALUE!</v>
      </c>
      <c r="M445" s="32" t="e">
        <v>#VALUE!</v>
      </c>
      <c r="N445" s="32">
        <v>0</v>
      </c>
      <c r="O445" s="32" t="e">
        <v>#DIV/0!</v>
      </c>
      <c r="P445" s="128" t="str">
        <f t="shared" si="39"/>
        <v/>
      </c>
      <c r="Q445" s="128" t="str">
        <f t="shared" si="40"/>
        <v/>
      </c>
      <c r="R445" s="128" t="str">
        <f t="shared" si="41"/>
        <v/>
      </c>
      <c r="S445" s="118"/>
      <c r="T445" s="104"/>
      <c r="U445" s="104"/>
      <c r="V445" s="104"/>
      <c r="W445" s="104"/>
      <c r="Y445"/>
    </row>
    <row r="446" spans="1:30" s="47" customFormat="1" x14ac:dyDescent="0.3">
      <c r="A446" s="40">
        <v>1112</v>
      </c>
      <c r="B446" s="45"/>
      <c r="C446" s="45"/>
      <c r="D446" s="45" t="str">
        <f t="shared" si="42"/>
        <v/>
      </c>
      <c r="E446" s="45"/>
      <c r="F446" s="45"/>
      <c r="G446" s="45"/>
      <c r="H446" s="63">
        <v>-25.126099419053538</v>
      </c>
      <c r="I446" s="43"/>
      <c r="J446" s="4" t="s">
        <v>11</v>
      </c>
      <c r="K446" s="46" t="e">
        <f t="shared" si="38"/>
        <v>#DIV/0!</v>
      </c>
      <c r="L446" s="32" t="e">
        <v>#VALUE!</v>
      </c>
      <c r="M446" s="32" t="e">
        <v>#VALUE!</v>
      </c>
      <c r="N446" s="32">
        <v>0</v>
      </c>
      <c r="O446" s="32" t="e">
        <v>#DIV/0!</v>
      </c>
      <c r="P446" s="128" t="str">
        <f t="shared" si="39"/>
        <v/>
      </c>
      <c r="Q446" s="128" t="str">
        <f t="shared" si="40"/>
        <v/>
      </c>
      <c r="R446" s="128" t="str">
        <f t="shared" si="41"/>
        <v/>
      </c>
      <c r="S446" s="118"/>
      <c r="T446" s="104"/>
      <c r="U446" s="104"/>
      <c r="V446" s="104"/>
      <c r="W446" s="104"/>
      <c r="Y446"/>
    </row>
    <row r="447" spans="1:30" s="47" customFormat="1" x14ac:dyDescent="0.3">
      <c r="A447" s="40">
        <v>1113</v>
      </c>
      <c r="B447" s="45"/>
      <c r="C447" s="45"/>
      <c r="D447" s="45" t="str">
        <f t="shared" si="42"/>
        <v/>
      </c>
      <c r="E447" s="45"/>
      <c r="F447" s="45"/>
      <c r="G447" s="45"/>
      <c r="H447" s="63">
        <v>-25.558842722510164</v>
      </c>
      <c r="I447" s="43"/>
      <c r="J447" s="4" t="s">
        <v>11</v>
      </c>
      <c r="K447" s="46" t="e">
        <f t="shared" si="38"/>
        <v>#DIV/0!</v>
      </c>
      <c r="L447" s="32" t="e">
        <v>#VALUE!</v>
      </c>
      <c r="M447" s="32" t="e">
        <v>#VALUE!</v>
      </c>
      <c r="N447" s="32">
        <v>0</v>
      </c>
      <c r="O447" s="32" t="e">
        <v>#DIV/0!</v>
      </c>
      <c r="P447" s="128" t="str">
        <f t="shared" si="39"/>
        <v/>
      </c>
      <c r="Q447" s="128" t="str">
        <f t="shared" si="40"/>
        <v/>
      </c>
      <c r="R447" s="128" t="str">
        <f t="shared" si="41"/>
        <v/>
      </c>
      <c r="S447" s="118"/>
      <c r="T447" s="104"/>
      <c r="U447" s="104"/>
      <c r="V447" s="104"/>
      <c r="W447" s="104"/>
      <c r="Y447"/>
    </row>
    <row r="448" spans="1:30" s="47" customFormat="1" x14ac:dyDescent="0.3">
      <c r="A448" s="40">
        <v>1114</v>
      </c>
      <c r="B448" s="45"/>
      <c r="C448" s="45"/>
      <c r="D448" s="45" t="str">
        <f t="shared" si="42"/>
        <v/>
      </c>
      <c r="E448" s="45"/>
      <c r="F448" s="45"/>
      <c r="G448" s="45"/>
      <c r="H448" s="63">
        <v>-26.757510905806839</v>
      </c>
      <c r="I448" s="43"/>
      <c r="J448" s="4" t="s">
        <v>11</v>
      </c>
      <c r="K448" s="46" t="e">
        <f t="shared" si="38"/>
        <v>#DIV/0!</v>
      </c>
      <c r="L448" s="32" t="e">
        <v>#VALUE!</v>
      </c>
      <c r="M448" s="32" t="e">
        <v>#VALUE!</v>
      </c>
      <c r="N448" s="32">
        <v>0</v>
      </c>
      <c r="O448" s="32" t="e">
        <v>#DIV/0!</v>
      </c>
      <c r="P448" s="128" t="str">
        <f t="shared" si="39"/>
        <v/>
      </c>
      <c r="Q448" s="128" t="str">
        <f t="shared" si="40"/>
        <v/>
      </c>
      <c r="R448" s="128" t="str">
        <f t="shared" si="41"/>
        <v/>
      </c>
      <c r="S448" s="118"/>
      <c r="T448" s="104"/>
      <c r="U448" s="104"/>
      <c r="V448" s="104"/>
      <c r="W448" s="104"/>
      <c r="Y448"/>
    </row>
    <row r="449" spans="1:30" s="47" customFormat="1" x14ac:dyDescent="0.3">
      <c r="A449" s="40">
        <v>1115</v>
      </c>
      <c r="B449" s="45"/>
      <c r="C449" s="45"/>
      <c r="D449" s="45" t="str">
        <f t="shared" si="42"/>
        <v/>
      </c>
      <c r="E449" s="45">
        <v>-31.109593418298182</v>
      </c>
      <c r="F449" s="45"/>
      <c r="G449" s="45"/>
      <c r="H449" s="63"/>
      <c r="I449" s="43"/>
      <c r="J449" s="4" t="s">
        <v>18</v>
      </c>
      <c r="K449" s="46">
        <f t="shared" si="38"/>
        <v>-31.109593418298182</v>
      </c>
      <c r="L449" s="32" t="e">
        <v>#VALUE!</v>
      </c>
      <c r="M449" s="32" t="e">
        <v>#VALUE!</v>
      </c>
      <c r="N449" s="32">
        <v>0</v>
      </c>
      <c r="O449" s="32" t="e">
        <v>#DIV/0!</v>
      </c>
      <c r="P449" s="128" t="str">
        <f t="shared" si="39"/>
        <v/>
      </c>
      <c r="Q449" s="128" t="str">
        <f t="shared" si="40"/>
        <v/>
      </c>
      <c r="R449" s="128" t="str">
        <f t="shared" si="41"/>
        <v/>
      </c>
      <c r="S449" s="118"/>
      <c r="T449" s="104"/>
      <c r="U449" s="104"/>
      <c r="V449" s="104"/>
      <c r="W449" s="104"/>
      <c r="Y449"/>
    </row>
    <row r="450" spans="1:30" s="47" customFormat="1" x14ac:dyDescent="0.3">
      <c r="A450" s="40">
        <v>1116</v>
      </c>
      <c r="B450" s="45">
        <v>-27.627804428829947</v>
      </c>
      <c r="C450" s="45">
        <v>-25.612526593488603</v>
      </c>
      <c r="D450" s="64" t="str">
        <f t="shared" si="42"/>
        <v/>
      </c>
      <c r="E450" s="45"/>
      <c r="F450" s="64"/>
      <c r="G450" s="45"/>
      <c r="H450" s="45"/>
      <c r="I450" s="43"/>
      <c r="J450" s="4" t="s">
        <v>11</v>
      </c>
      <c r="K450" s="46">
        <f t="shared" ref="K450:K513" si="43">AVERAGE(B450:G450)</f>
        <v>-26.620165511159275</v>
      </c>
      <c r="L450" s="32" t="e">
        <v>#VALUE!</v>
      </c>
      <c r="M450" s="32" t="e">
        <v>#VALUE!</v>
      </c>
      <c r="N450" s="32">
        <v>2.0152778353413439</v>
      </c>
      <c r="O450" s="32" t="e">
        <v>#DIV/0!</v>
      </c>
      <c r="P450" s="128" t="str">
        <f t="shared" si="39"/>
        <v/>
      </c>
      <c r="Q450" s="128" t="str">
        <f t="shared" si="40"/>
        <v/>
      </c>
      <c r="R450" s="128" t="str">
        <f t="shared" si="41"/>
        <v/>
      </c>
      <c r="S450" s="118"/>
      <c r="T450" s="104">
        <v>0</v>
      </c>
      <c r="U450" s="104">
        <v>0</v>
      </c>
      <c r="V450" s="104"/>
      <c r="W450" s="104">
        <v>0</v>
      </c>
      <c r="Y450"/>
    </row>
    <row r="451" spans="1:30" x14ac:dyDescent="0.3">
      <c r="A451" s="4">
        <v>1117</v>
      </c>
      <c r="B451" s="8">
        <v>-30.94235152992853</v>
      </c>
      <c r="C451" s="8">
        <v>-30.48691160044168</v>
      </c>
      <c r="D451" s="21">
        <f t="shared" si="42"/>
        <v>-30.219202200609118</v>
      </c>
      <c r="E451" s="8">
        <v>-31.119758513895608</v>
      </c>
      <c r="F451" s="8">
        <v>-29.942172385338164</v>
      </c>
      <c r="G451" s="8">
        <v>-30.496232015880071</v>
      </c>
      <c r="H451" s="8"/>
      <c r="I451" s="6"/>
      <c r="J451" s="4" t="s">
        <v>18</v>
      </c>
      <c r="K451" s="32">
        <f t="shared" si="43"/>
        <v>-30.53443804101553</v>
      </c>
      <c r="L451" s="32">
        <v>-0.90055631328649</v>
      </c>
      <c r="M451" s="32">
        <v>0.2677093998325617</v>
      </c>
      <c r="N451" s="32">
        <v>0.4554399294868503</v>
      </c>
      <c r="O451" s="32">
        <v>4.5151207932743631E-2</v>
      </c>
      <c r="P451" s="128">
        <f t="shared" ref="P451:P514" si="44">IF(OR(E451="", D451="", B451="", C451=""), "", MIN(E451,D451)-MIN(B451,C451))</f>
        <v>-0.17740698396707799</v>
      </c>
      <c r="Q451" s="128">
        <f t="shared" ref="Q451:Q514" si="45">IF(OR(E451="", D451="", B451="", C451=""), "", MIN(E451,D451)-MAX(B451,C451))</f>
        <v>-0.63284691345392829</v>
      </c>
      <c r="R451" s="128">
        <f t="shared" ref="R451:R514" si="46">IF(OR(E451="", D451="", B451="", C451=""), "", MIN(E451,D451)-AVERAGE(B451,C451))</f>
        <v>-0.40512694871050314</v>
      </c>
      <c r="S451" s="115">
        <v>0</v>
      </c>
      <c r="T451" s="99">
        <v>0</v>
      </c>
      <c r="U451" s="99">
        <v>0</v>
      </c>
      <c r="W451" s="99">
        <v>0</v>
      </c>
      <c r="X451" t="s">
        <v>17</v>
      </c>
      <c r="AC451"/>
      <c r="AD451"/>
    </row>
    <row r="452" spans="1:30" s="47" customFormat="1" x14ac:dyDescent="0.3">
      <c r="A452" s="40">
        <v>1118</v>
      </c>
      <c r="B452" s="45"/>
      <c r="C452" s="45"/>
      <c r="D452" s="64" t="str">
        <f t="shared" si="42"/>
        <v/>
      </c>
      <c r="E452" s="45">
        <v>-30.709219015911664</v>
      </c>
      <c r="F452" s="45"/>
      <c r="G452" s="45"/>
      <c r="H452" s="45"/>
      <c r="I452" s="43"/>
      <c r="J452" s="4" t="s">
        <v>18</v>
      </c>
      <c r="K452" s="46">
        <f t="shared" si="43"/>
        <v>-30.709219015911664</v>
      </c>
      <c r="L452" s="32" t="e">
        <v>#VALUE!</v>
      </c>
      <c r="M452" s="32" t="e">
        <v>#VALUE!</v>
      </c>
      <c r="N452" s="32">
        <v>0</v>
      </c>
      <c r="O452" s="32" t="e">
        <v>#DIV/0!</v>
      </c>
      <c r="P452" s="128" t="str">
        <f t="shared" si="44"/>
        <v/>
      </c>
      <c r="Q452" s="128" t="str">
        <f t="shared" si="45"/>
        <v/>
      </c>
      <c r="R452" s="128" t="str">
        <f t="shared" si="46"/>
        <v/>
      </c>
      <c r="S452" s="118"/>
      <c r="T452" s="104"/>
      <c r="U452" s="104"/>
      <c r="V452" s="104"/>
      <c r="W452" s="104">
        <v>0</v>
      </c>
      <c r="Y452"/>
    </row>
    <row r="453" spans="1:30" s="47" customFormat="1" x14ac:dyDescent="0.3">
      <c r="A453" s="40">
        <v>1119</v>
      </c>
      <c r="B453" s="45">
        <v>-26.637611343366778</v>
      </c>
      <c r="C453" s="45">
        <v>-26.0385555292772</v>
      </c>
      <c r="D453" s="64" t="str">
        <f t="shared" si="42"/>
        <v/>
      </c>
      <c r="E453" s="45"/>
      <c r="F453" s="45"/>
      <c r="G453" s="45"/>
      <c r="H453" s="45"/>
      <c r="I453" s="43"/>
      <c r="J453" s="4" t="s">
        <v>11</v>
      </c>
      <c r="K453" s="46">
        <f t="shared" si="43"/>
        <v>-26.338083436321988</v>
      </c>
      <c r="L453" s="32" t="e">
        <v>#VALUE!</v>
      </c>
      <c r="M453" s="32" t="e">
        <v>#VALUE!</v>
      </c>
      <c r="N453" s="32">
        <v>0.59905581408957786</v>
      </c>
      <c r="O453" s="32" t="e">
        <v>#DIV/0!</v>
      </c>
      <c r="P453" s="128" t="str">
        <f t="shared" si="44"/>
        <v/>
      </c>
      <c r="Q453" s="128" t="str">
        <f t="shared" si="45"/>
        <v/>
      </c>
      <c r="R453" s="128" t="str">
        <f t="shared" si="46"/>
        <v/>
      </c>
      <c r="S453" s="118"/>
      <c r="T453" s="104">
        <v>0</v>
      </c>
      <c r="U453" s="104">
        <v>0</v>
      </c>
      <c r="V453" s="104">
        <v>0</v>
      </c>
      <c r="W453" s="104">
        <v>0</v>
      </c>
      <c r="Y453"/>
    </row>
    <row r="454" spans="1:30" x14ac:dyDescent="0.3">
      <c r="A454" s="4">
        <v>1120</v>
      </c>
      <c r="B454" s="8">
        <v>-31.68173272017837</v>
      </c>
      <c r="C454" s="8">
        <v>-30.161736766110543</v>
      </c>
      <c r="D454" s="21">
        <f t="shared" si="42"/>
        <v>-29.374022888741401</v>
      </c>
      <c r="E454" s="8">
        <v>-30.352398137045427</v>
      </c>
      <c r="F454" s="8">
        <v>-29.266395469013922</v>
      </c>
      <c r="G454" s="8">
        <v>-29.481650308468875</v>
      </c>
      <c r="H454" s="8"/>
      <c r="I454" s="6"/>
      <c r="J454" s="4" t="s">
        <v>18</v>
      </c>
      <c r="K454" s="32">
        <f t="shared" si="43"/>
        <v>-30.05298938159309</v>
      </c>
      <c r="L454" s="32">
        <v>-0.978375248304026</v>
      </c>
      <c r="M454" s="32">
        <v>0.78771387736914278</v>
      </c>
      <c r="N454" s="32">
        <v>1.5199959540678272</v>
      </c>
      <c r="O454" s="32">
        <v>1.0585242302510416</v>
      </c>
      <c r="P454" s="128">
        <f t="shared" si="44"/>
        <v>1.3293345831329439</v>
      </c>
      <c r="Q454" s="128">
        <f t="shared" si="45"/>
        <v>-0.19066137093488322</v>
      </c>
      <c r="R454" s="128">
        <f t="shared" si="46"/>
        <v>0.56933660609902859</v>
      </c>
      <c r="S454" s="115">
        <v>0</v>
      </c>
      <c r="T454" s="99">
        <v>0</v>
      </c>
      <c r="U454" s="99">
        <v>0</v>
      </c>
      <c r="V454" s="99">
        <v>0</v>
      </c>
      <c r="W454" s="99">
        <v>0</v>
      </c>
      <c r="X454" t="s">
        <v>16</v>
      </c>
      <c r="AC454"/>
      <c r="AD454"/>
    </row>
    <row r="455" spans="1:30" x14ac:dyDescent="0.3">
      <c r="A455" s="4">
        <v>1121</v>
      </c>
      <c r="B455" s="8">
        <v>-31.318497710240067</v>
      </c>
      <c r="C455" s="8">
        <v>-30.163253165616652</v>
      </c>
      <c r="D455" s="21">
        <f t="shared" si="42"/>
        <v>-29.352284308709415</v>
      </c>
      <c r="E455" s="8">
        <v>-29.745218668577021</v>
      </c>
      <c r="F455" s="8">
        <v>-29.1830795540425</v>
      </c>
      <c r="G455" s="8">
        <v>-29.521489063376332</v>
      </c>
      <c r="H455" s="8"/>
      <c r="I455" s="6"/>
      <c r="J455" s="4" t="s">
        <v>18</v>
      </c>
      <c r="K455" s="32">
        <f t="shared" si="43"/>
        <v>-29.880637078426997</v>
      </c>
      <c r="L455" s="32">
        <v>-0.39293435986760628</v>
      </c>
      <c r="M455" s="32">
        <v>0.81096885690723752</v>
      </c>
      <c r="N455" s="32">
        <v>1.1552445446234145</v>
      </c>
      <c r="O455" s="32">
        <v>1.1921239492851399</v>
      </c>
      <c r="P455" s="128">
        <f t="shared" si="44"/>
        <v>1.5732790416630458</v>
      </c>
      <c r="Q455" s="128">
        <f t="shared" si="45"/>
        <v>0.41803449703963125</v>
      </c>
      <c r="R455" s="128">
        <f t="shared" si="46"/>
        <v>0.99565676935133851</v>
      </c>
      <c r="S455" s="115">
        <v>0</v>
      </c>
      <c r="T455" s="99">
        <v>0</v>
      </c>
      <c r="U455" s="99">
        <v>0</v>
      </c>
      <c r="V455" s="99">
        <v>0</v>
      </c>
      <c r="W455" s="99">
        <v>0</v>
      </c>
      <c r="X455" t="s">
        <v>16</v>
      </c>
      <c r="AC455"/>
      <c r="AD455"/>
    </row>
    <row r="456" spans="1:30" x14ac:dyDescent="0.3">
      <c r="A456" s="4">
        <v>1122</v>
      </c>
      <c r="B456" s="8">
        <v>-31.912410590544972</v>
      </c>
      <c r="C456" s="8">
        <v>-30.878226224669039</v>
      </c>
      <c r="D456" s="21">
        <f t="shared" si="42"/>
        <v>-30.01437298069591</v>
      </c>
      <c r="E456" s="8">
        <v>-30.571921422454324</v>
      </c>
      <c r="F456" s="8">
        <v>-29.774612478497822</v>
      </c>
      <c r="G456" s="8">
        <v>-30.254133482893998</v>
      </c>
      <c r="H456" s="8"/>
      <c r="I456" s="6"/>
      <c r="J456" s="4" t="s">
        <v>18</v>
      </c>
      <c r="K456" s="32">
        <f t="shared" si="43"/>
        <v>-30.567612863292677</v>
      </c>
      <c r="L456" s="32">
        <v>-0.55754844175841356</v>
      </c>
      <c r="M456" s="32">
        <v>0.86385324397312857</v>
      </c>
      <c r="N456" s="32">
        <v>1.0341843658759338</v>
      </c>
      <c r="O456" s="32">
        <v>1.1021712060318904</v>
      </c>
      <c r="P456" s="128">
        <f t="shared" si="44"/>
        <v>1.3404891680906488</v>
      </c>
      <c r="Q456" s="128">
        <f t="shared" si="45"/>
        <v>0.30630480221471501</v>
      </c>
      <c r="R456" s="128">
        <f t="shared" si="46"/>
        <v>0.82339698515268367</v>
      </c>
      <c r="S456" s="115">
        <v>0</v>
      </c>
      <c r="T456" s="99">
        <v>0</v>
      </c>
      <c r="U456" s="99">
        <v>0</v>
      </c>
      <c r="V456" s="99">
        <v>0</v>
      </c>
      <c r="W456" s="99">
        <v>0</v>
      </c>
      <c r="X456" t="s">
        <v>16</v>
      </c>
      <c r="AC456"/>
      <c r="AD456"/>
    </row>
    <row r="457" spans="1:30" x14ac:dyDescent="0.3">
      <c r="A457" s="4">
        <v>1123</v>
      </c>
      <c r="B457" s="8">
        <v>-31.385989433008426</v>
      </c>
      <c r="C457" s="8">
        <v>-30.555060584650665</v>
      </c>
      <c r="D457" s="21">
        <f t="shared" si="42"/>
        <v>-30.090629844924372</v>
      </c>
      <c r="E457" s="8">
        <v>-30.836971990127324</v>
      </c>
      <c r="F457" s="8">
        <v>-29.933927945597478</v>
      </c>
      <c r="G457" s="8">
        <v>-30.247331744251262</v>
      </c>
      <c r="H457" s="8"/>
      <c r="I457" s="6"/>
      <c r="J457" s="4" t="s">
        <v>18</v>
      </c>
      <c r="K457" s="32">
        <f t="shared" si="43"/>
        <v>-30.508318590426587</v>
      </c>
      <c r="L457" s="32">
        <v>-0.74634214520295217</v>
      </c>
      <c r="M457" s="32">
        <v>0.46443073972629279</v>
      </c>
      <c r="N457" s="32">
        <v>0.83092884835776104</v>
      </c>
      <c r="O457" s="32">
        <v>0.506724091303699</v>
      </c>
      <c r="P457" s="128">
        <f t="shared" si="44"/>
        <v>0.54901744288110166</v>
      </c>
      <c r="Q457" s="128">
        <f t="shared" si="45"/>
        <v>-0.28191140547665938</v>
      </c>
      <c r="R457" s="128">
        <f t="shared" si="46"/>
        <v>0.13355301870222291</v>
      </c>
      <c r="S457" s="115">
        <v>0</v>
      </c>
      <c r="T457" s="99">
        <v>0</v>
      </c>
      <c r="U457" s="99">
        <v>0</v>
      </c>
      <c r="V457" s="99">
        <v>0</v>
      </c>
      <c r="W457" s="99">
        <v>0</v>
      </c>
      <c r="X457" t="s">
        <v>16</v>
      </c>
      <c r="AC457"/>
      <c r="AD457"/>
    </row>
    <row r="458" spans="1:30" x14ac:dyDescent="0.3">
      <c r="A458" s="4">
        <v>1124</v>
      </c>
      <c r="B458" s="8">
        <v>-31.855176009735917</v>
      </c>
      <c r="C458" s="8">
        <v>-31.426171330875135</v>
      </c>
      <c r="D458" s="21">
        <f t="shared" si="42"/>
        <v>-30.491600129161522</v>
      </c>
      <c r="E458" s="8">
        <v>-30.687509799850183</v>
      </c>
      <c r="F458" s="8">
        <v>-30.160635760286027</v>
      </c>
      <c r="G458" s="8">
        <v>-30.822564498037018</v>
      </c>
      <c r="H458" s="8"/>
      <c r="I458" s="6"/>
      <c r="J458" s="4" t="s">
        <v>18</v>
      </c>
      <c r="K458" s="32">
        <f t="shared" si="43"/>
        <v>-30.907276254657635</v>
      </c>
      <c r="L458" s="32">
        <v>-0.1959096706886605</v>
      </c>
      <c r="M458" s="32">
        <v>0.93457120171361296</v>
      </c>
      <c r="N458" s="32">
        <v>0.42900467886078175</v>
      </c>
      <c r="O458" s="32">
        <v>1.0511187057996736</v>
      </c>
      <c r="P458" s="128">
        <f t="shared" si="44"/>
        <v>1.1676662098857342</v>
      </c>
      <c r="Q458" s="128">
        <f t="shared" si="45"/>
        <v>0.73866153102495247</v>
      </c>
      <c r="R458" s="128">
        <f t="shared" si="46"/>
        <v>0.95316387045534157</v>
      </c>
      <c r="S458" s="115">
        <v>0</v>
      </c>
      <c r="T458" s="99">
        <v>0</v>
      </c>
      <c r="U458" s="99">
        <v>0</v>
      </c>
      <c r="V458" s="99">
        <v>0</v>
      </c>
      <c r="W458" s="99">
        <v>0</v>
      </c>
      <c r="X458" t="s">
        <v>16</v>
      </c>
      <c r="AC458"/>
      <c r="AD458"/>
    </row>
    <row r="459" spans="1:30" s="47" customFormat="1" x14ac:dyDescent="0.3">
      <c r="A459" s="40">
        <v>1126</v>
      </c>
      <c r="B459" s="45">
        <v>-29.587602201342229</v>
      </c>
      <c r="C459" s="45">
        <v>-28.323812005170222</v>
      </c>
      <c r="D459" s="45">
        <v>-28.708907893087716</v>
      </c>
      <c r="E459" s="43"/>
      <c r="F459" s="43"/>
      <c r="G459" s="43"/>
      <c r="H459" s="45">
        <v>-28.463143095557466</v>
      </c>
      <c r="I459" s="43"/>
      <c r="J459" s="4" t="s">
        <v>18</v>
      </c>
      <c r="K459" s="46">
        <f t="shared" si="43"/>
        <v>-28.87344069986672</v>
      </c>
      <c r="L459" s="32">
        <v>28.708907893087716</v>
      </c>
      <c r="M459" s="32">
        <v>-0.38509588791749394</v>
      </c>
      <c r="N459" s="32">
        <v>1.2637901961720068</v>
      </c>
      <c r="O459" s="32">
        <v>0.2467992101685077</v>
      </c>
      <c r="P459" s="128" t="str">
        <f t="shared" si="44"/>
        <v/>
      </c>
      <c r="Q459" s="128" t="str">
        <f t="shared" si="45"/>
        <v/>
      </c>
      <c r="R459" s="128" t="str">
        <f t="shared" si="46"/>
        <v/>
      </c>
      <c r="S459" s="118"/>
      <c r="T459" s="104">
        <v>0</v>
      </c>
      <c r="U459" s="104">
        <v>0</v>
      </c>
      <c r="V459" s="99">
        <v>0</v>
      </c>
      <c r="W459" s="104"/>
      <c r="Y459"/>
    </row>
    <row r="460" spans="1:30" s="47" customFormat="1" x14ac:dyDescent="0.3">
      <c r="A460" s="40">
        <v>1127</v>
      </c>
      <c r="B460" s="45">
        <v>-28.777037129924441</v>
      </c>
      <c r="C460" s="45">
        <v>-28.747106607303529</v>
      </c>
      <c r="D460" s="45">
        <v>-28.958406910681745</v>
      </c>
      <c r="E460" s="43"/>
      <c r="F460" s="43"/>
      <c r="G460" s="43"/>
      <c r="H460" s="45">
        <v>-27.973958581732475</v>
      </c>
      <c r="I460" s="43"/>
      <c r="J460" s="4" t="s">
        <v>11</v>
      </c>
      <c r="K460" s="46">
        <f t="shared" si="43"/>
        <v>-28.827516882636573</v>
      </c>
      <c r="L460" s="32">
        <v>28.958406910681745</v>
      </c>
      <c r="M460" s="32">
        <v>-0.21130030337821637</v>
      </c>
      <c r="N460" s="32">
        <v>2.9930522620912114E-2</v>
      </c>
      <c r="O460" s="32">
        <v>-0.19633504206775854</v>
      </c>
      <c r="P460" s="128" t="str">
        <f t="shared" si="44"/>
        <v/>
      </c>
      <c r="Q460" s="128" t="str">
        <f t="shared" si="45"/>
        <v/>
      </c>
      <c r="R460" s="128" t="str">
        <f t="shared" si="46"/>
        <v/>
      </c>
      <c r="S460" s="118"/>
      <c r="T460" s="104">
        <v>0</v>
      </c>
      <c r="U460" s="104">
        <v>0</v>
      </c>
      <c r="V460" s="99">
        <v>0</v>
      </c>
      <c r="W460" s="104"/>
      <c r="Y460"/>
    </row>
    <row r="461" spans="1:30" s="47" customFormat="1" x14ac:dyDescent="0.3">
      <c r="A461" s="40">
        <v>1130</v>
      </c>
      <c r="B461" s="45">
        <v>-29.63385109120528</v>
      </c>
      <c r="C461" s="45">
        <v>-29.540902352311051</v>
      </c>
      <c r="D461" s="45">
        <v>-29.345335232435154</v>
      </c>
      <c r="E461" s="43"/>
      <c r="F461" s="43"/>
      <c r="G461" s="43"/>
      <c r="H461" s="45">
        <v>-29.863313258190026</v>
      </c>
      <c r="I461" s="43"/>
      <c r="J461" s="4" t="s">
        <v>18</v>
      </c>
      <c r="K461" s="46">
        <f t="shared" si="43"/>
        <v>-29.50669622531716</v>
      </c>
      <c r="L461" s="32">
        <v>29.345335232435154</v>
      </c>
      <c r="M461" s="32">
        <v>0.19556711987589637</v>
      </c>
      <c r="N461" s="32">
        <v>9.2948738894229166E-2</v>
      </c>
      <c r="O461" s="32">
        <v>0.24204148932301095</v>
      </c>
      <c r="P461" s="128" t="str">
        <f t="shared" si="44"/>
        <v/>
      </c>
      <c r="Q461" s="128" t="str">
        <f t="shared" si="45"/>
        <v/>
      </c>
      <c r="R461" s="128" t="str">
        <f t="shared" si="46"/>
        <v/>
      </c>
      <c r="S461" s="118"/>
      <c r="T461" s="104">
        <v>0</v>
      </c>
      <c r="U461" s="104">
        <v>0</v>
      </c>
      <c r="V461" s="99">
        <v>0</v>
      </c>
      <c r="W461" s="104"/>
      <c r="Y461"/>
    </row>
    <row r="462" spans="1:30" s="47" customFormat="1" x14ac:dyDescent="0.3">
      <c r="A462" s="40">
        <v>1131</v>
      </c>
      <c r="B462" s="45">
        <v>-29.142327893718189</v>
      </c>
      <c r="C462" s="45">
        <v>-28.250536502216214</v>
      </c>
      <c r="D462" s="45">
        <v>-28.339071095976795</v>
      </c>
      <c r="E462" s="43"/>
      <c r="F462" s="43"/>
      <c r="G462" s="43"/>
      <c r="H462" s="45">
        <v>-28.123787845172252</v>
      </c>
      <c r="I462" s="43"/>
      <c r="J462" s="4" t="s">
        <v>11</v>
      </c>
      <c r="K462" s="46">
        <f t="shared" si="43"/>
        <v>-28.577311830637068</v>
      </c>
      <c r="L462" s="32">
        <v>28.339071095976795</v>
      </c>
      <c r="M462" s="32">
        <v>-8.8534593760581259E-2</v>
      </c>
      <c r="N462" s="32">
        <v>0.89179139150197528</v>
      </c>
      <c r="O462" s="32">
        <v>0.35736110199040638</v>
      </c>
      <c r="P462" s="128" t="str">
        <f t="shared" si="44"/>
        <v/>
      </c>
      <c r="Q462" s="128" t="str">
        <f t="shared" si="45"/>
        <v/>
      </c>
      <c r="R462" s="128" t="str">
        <f t="shared" si="46"/>
        <v/>
      </c>
      <c r="S462" s="118"/>
      <c r="T462" s="104">
        <v>0</v>
      </c>
      <c r="U462" s="104">
        <v>0</v>
      </c>
      <c r="V462" s="99">
        <v>0</v>
      </c>
      <c r="W462" s="104"/>
      <c r="Y462"/>
    </row>
    <row r="463" spans="1:30" s="47" customFormat="1" x14ac:dyDescent="0.3">
      <c r="A463" s="40">
        <v>1133</v>
      </c>
      <c r="B463" s="45">
        <v>-29.267761487090148</v>
      </c>
      <c r="C463" s="45">
        <v>-28.319570139211102</v>
      </c>
      <c r="D463" s="45">
        <v>-28.487925684192568</v>
      </c>
      <c r="E463" s="43"/>
      <c r="F463" s="43"/>
      <c r="G463" s="43"/>
      <c r="H463" s="45">
        <v>-28.938951812207232</v>
      </c>
      <c r="I463" s="43"/>
      <c r="J463" s="4" t="s">
        <v>18</v>
      </c>
      <c r="K463" s="46">
        <f t="shared" si="43"/>
        <v>-28.691752436831269</v>
      </c>
      <c r="L463" s="32">
        <v>28.487925684192568</v>
      </c>
      <c r="M463" s="32">
        <v>-0.16835554498146621</v>
      </c>
      <c r="N463" s="32">
        <v>0.94819134787904602</v>
      </c>
      <c r="O463" s="32">
        <v>0.3057401289580568</v>
      </c>
      <c r="P463" s="128" t="str">
        <f t="shared" si="44"/>
        <v/>
      </c>
      <c r="Q463" s="128" t="str">
        <f t="shared" si="45"/>
        <v/>
      </c>
      <c r="R463" s="128" t="str">
        <f t="shared" si="46"/>
        <v/>
      </c>
      <c r="S463" s="118"/>
      <c r="T463" s="104">
        <v>0</v>
      </c>
      <c r="U463" s="104">
        <v>0</v>
      </c>
      <c r="V463" s="99">
        <v>0</v>
      </c>
      <c r="W463" s="104"/>
      <c r="Y463"/>
    </row>
    <row r="464" spans="1:30" s="47" customFormat="1" x14ac:dyDescent="0.3">
      <c r="A464" s="40">
        <v>1134</v>
      </c>
      <c r="B464" s="45">
        <v>-30.016891888180183</v>
      </c>
      <c r="C464" s="45">
        <v>-28.01607202766408</v>
      </c>
      <c r="D464" s="45">
        <v>-28.94063415223976</v>
      </c>
      <c r="E464" s="43"/>
      <c r="F464" s="43"/>
      <c r="G464" s="43"/>
      <c r="H464" s="45">
        <v>-29.422441145013668</v>
      </c>
      <c r="I464" s="43"/>
      <c r="J464" s="4" t="s">
        <v>18</v>
      </c>
      <c r="K464" s="46">
        <f t="shared" si="43"/>
        <v>-28.991199356028005</v>
      </c>
      <c r="L464" s="32">
        <v>28.94063415223976</v>
      </c>
      <c r="M464" s="32">
        <v>-0.92456212457567943</v>
      </c>
      <c r="N464" s="32">
        <v>2.0008198605161027</v>
      </c>
      <c r="O464" s="32">
        <v>7.5847805682371927E-2</v>
      </c>
      <c r="P464" s="128" t="str">
        <f t="shared" si="44"/>
        <v/>
      </c>
      <c r="Q464" s="128" t="str">
        <f t="shared" si="45"/>
        <v/>
      </c>
      <c r="R464" s="128" t="str">
        <f t="shared" si="46"/>
        <v/>
      </c>
      <c r="S464" s="118"/>
      <c r="T464" s="104">
        <v>0</v>
      </c>
      <c r="U464" s="104">
        <v>0</v>
      </c>
      <c r="V464" s="99">
        <v>0</v>
      </c>
      <c r="W464" s="104"/>
      <c r="Y464"/>
    </row>
    <row r="465" spans="1:30" x14ac:dyDescent="0.3">
      <c r="A465" s="4">
        <v>1366</v>
      </c>
      <c r="B465" s="8">
        <v>-30.31</v>
      </c>
      <c r="C465" s="8">
        <v>-30.28</v>
      </c>
      <c r="D465" s="8">
        <v>-29.76</v>
      </c>
      <c r="E465" s="8">
        <v>-29.39</v>
      </c>
      <c r="F465" s="6"/>
      <c r="G465" s="6"/>
      <c r="H465" s="6"/>
      <c r="I465" s="6"/>
      <c r="J465" s="4" t="s">
        <v>18</v>
      </c>
      <c r="K465" s="32">
        <f t="shared" si="43"/>
        <v>-29.935000000000002</v>
      </c>
      <c r="L465" s="32">
        <v>0.37000000000000099</v>
      </c>
      <c r="M465" s="32">
        <v>0.51999999999999957</v>
      </c>
      <c r="N465" s="32">
        <v>2.9999999999997584E-2</v>
      </c>
      <c r="O465" s="32">
        <v>0.71999999999999886</v>
      </c>
      <c r="P465" s="128">
        <f t="shared" si="44"/>
        <v>0.54999999999999716</v>
      </c>
      <c r="Q465" s="128">
        <f t="shared" si="45"/>
        <v>0.51999999999999957</v>
      </c>
      <c r="R465" s="128">
        <f t="shared" si="46"/>
        <v>0.53500000000000014</v>
      </c>
      <c r="S465" s="115">
        <v>0</v>
      </c>
      <c r="T465" s="115">
        <v>0</v>
      </c>
      <c r="U465" s="115">
        <v>0</v>
      </c>
      <c r="V465" s="99">
        <v>0</v>
      </c>
      <c r="W465" s="99">
        <v>0</v>
      </c>
      <c r="X465" t="s">
        <v>16</v>
      </c>
      <c r="AC465"/>
      <c r="AD465"/>
    </row>
    <row r="466" spans="1:30" x14ac:dyDescent="0.3">
      <c r="A466" s="4">
        <v>1370</v>
      </c>
      <c r="B466" s="8">
        <v>-30.02</v>
      </c>
      <c r="C466" s="8">
        <v>-29.61</v>
      </c>
      <c r="D466" s="8">
        <v>-29.11</v>
      </c>
      <c r="E466" s="8">
        <v>-29.02</v>
      </c>
      <c r="F466" s="6"/>
      <c r="G466" s="6"/>
      <c r="H466" s="6"/>
      <c r="I466" s="6"/>
      <c r="J466" s="4" t="s">
        <v>18</v>
      </c>
      <c r="K466" s="32">
        <f t="shared" si="43"/>
        <v>-29.439999999999998</v>
      </c>
      <c r="L466" s="32">
        <v>8.9999999999999858E-2</v>
      </c>
      <c r="M466" s="32">
        <v>0.5</v>
      </c>
      <c r="N466" s="32">
        <v>0.41000000000000014</v>
      </c>
      <c r="O466" s="32">
        <v>0.75</v>
      </c>
      <c r="P466" s="128">
        <f t="shared" si="44"/>
        <v>0.91000000000000014</v>
      </c>
      <c r="Q466" s="128">
        <f t="shared" si="45"/>
        <v>0.5</v>
      </c>
      <c r="R466" s="128">
        <f t="shared" si="46"/>
        <v>0.70499999999999829</v>
      </c>
      <c r="S466" s="115">
        <v>0</v>
      </c>
      <c r="T466" s="99">
        <v>0</v>
      </c>
      <c r="U466" s="99">
        <v>0</v>
      </c>
      <c r="V466" s="99">
        <v>0</v>
      </c>
      <c r="W466" s="99">
        <v>0</v>
      </c>
      <c r="X466" t="s">
        <v>16</v>
      </c>
      <c r="AC466"/>
      <c r="AD466"/>
    </row>
    <row r="467" spans="1:30" x14ac:dyDescent="0.3">
      <c r="A467" s="4">
        <v>1371</v>
      </c>
      <c r="B467" s="8">
        <v>-30.2</v>
      </c>
      <c r="C467" s="8">
        <v>-28.83</v>
      </c>
      <c r="D467" s="8">
        <v>-29.32</v>
      </c>
      <c r="E467" s="8">
        <v>-29.73</v>
      </c>
      <c r="F467" s="6"/>
      <c r="G467" s="6"/>
      <c r="H467" s="6"/>
      <c r="I467" s="6"/>
      <c r="J467" s="4" t="s">
        <v>18</v>
      </c>
      <c r="K467" s="32">
        <f t="shared" si="43"/>
        <v>-29.52</v>
      </c>
      <c r="L467" s="32">
        <v>-0.41000000000000014</v>
      </c>
      <c r="M467" s="32">
        <v>-0.49000000000000199</v>
      </c>
      <c r="N467" s="32">
        <v>1.370000000000001</v>
      </c>
      <c r="O467" s="32">
        <v>-9.9999999999980105E-3</v>
      </c>
      <c r="P467" s="128">
        <f t="shared" si="44"/>
        <v>0.46999999999999886</v>
      </c>
      <c r="Q467" s="128">
        <f t="shared" si="45"/>
        <v>-0.90000000000000213</v>
      </c>
      <c r="R467" s="128">
        <f t="shared" si="46"/>
        <v>-0.21499999999999986</v>
      </c>
      <c r="S467" s="115">
        <v>0</v>
      </c>
      <c r="T467" s="99">
        <v>0</v>
      </c>
      <c r="U467" s="99">
        <v>0</v>
      </c>
      <c r="V467" s="99">
        <v>0</v>
      </c>
      <c r="W467" s="99">
        <v>0</v>
      </c>
      <c r="X467" t="s">
        <v>16</v>
      </c>
      <c r="AC467"/>
      <c r="AD467"/>
    </row>
    <row r="468" spans="1:30" x14ac:dyDescent="0.3">
      <c r="A468" s="4">
        <v>1373</v>
      </c>
      <c r="B468" s="8">
        <v>-29.549348184377127</v>
      </c>
      <c r="C468" s="8">
        <v>-28.702506513924511</v>
      </c>
      <c r="D468" s="8">
        <v>-28.52364376721377</v>
      </c>
      <c r="E468" s="8">
        <v>-29.052564685459625</v>
      </c>
      <c r="F468" s="6"/>
      <c r="G468" s="6"/>
      <c r="H468" s="6"/>
      <c r="I468" s="6"/>
      <c r="J468" s="4" t="s">
        <v>18</v>
      </c>
      <c r="K468" s="32">
        <f t="shared" si="43"/>
        <v>-28.95701578774376</v>
      </c>
      <c r="L468" s="32">
        <v>-0.52892091824585563</v>
      </c>
      <c r="M468" s="32">
        <v>0.17886274671074176</v>
      </c>
      <c r="N468" s="32">
        <v>0.8468416704526156</v>
      </c>
      <c r="O468" s="32">
        <v>0.33782312281412175</v>
      </c>
      <c r="P468" s="128">
        <f t="shared" si="44"/>
        <v>0.49678349891750173</v>
      </c>
      <c r="Q468" s="128">
        <f t="shared" si="45"/>
        <v>-0.35005817153511387</v>
      </c>
      <c r="R468" s="128">
        <f t="shared" si="46"/>
        <v>7.3362663691195706E-2</v>
      </c>
      <c r="S468" s="115">
        <v>0</v>
      </c>
      <c r="T468" s="99">
        <v>0</v>
      </c>
      <c r="U468" s="99">
        <v>0</v>
      </c>
      <c r="V468" s="99">
        <v>0</v>
      </c>
      <c r="W468" s="99">
        <v>0</v>
      </c>
      <c r="X468" t="s">
        <v>16</v>
      </c>
      <c r="AC468"/>
      <c r="AD468"/>
    </row>
    <row r="469" spans="1:30" x14ac:dyDescent="0.3">
      <c r="A469" s="4">
        <v>1378</v>
      </c>
      <c r="B469" s="8">
        <v>-29.482114732838049</v>
      </c>
      <c r="C469" s="8">
        <v>-28.599185101137639</v>
      </c>
      <c r="D469" s="8">
        <v>-28.480150973265886</v>
      </c>
      <c r="E469" s="8">
        <v>-28.177386927417043</v>
      </c>
      <c r="F469" s="6"/>
      <c r="G469" s="6"/>
      <c r="H469" s="6"/>
      <c r="I469" s="6"/>
      <c r="J469" s="4" t="s">
        <v>18</v>
      </c>
      <c r="K469" s="32">
        <f t="shared" si="43"/>
        <v>-28.684709433664658</v>
      </c>
      <c r="L469" s="32">
        <v>0.30276404584884276</v>
      </c>
      <c r="M469" s="32">
        <v>0.11903412787175327</v>
      </c>
      <c r="N469" s="32">
        <v>0.88292963170041006</v>
      </c>
      <c r="O469" s="32">
        <v>0.71188096664638323</v>
      </c>
      <c r="P469" s="128">
        <f t="shared" si="44"/>
        <v>1.0019637595721633</v>
      </c>
      <c r="Q469" s="128">
        <f t="shared" si="45"/>
        <v>0.11903412787175327</v>
      </c>
      <c r="R469" s="128">
        <f t="shared" si="46"/>
        <v>0.56049894372196007</v>
      </c>
      <c r="S469" s="115">
        <v>0</v>
      </c>
      <c r="T469" s="99">
        <v>0</v>
      </c>
      <c r="U469" s="99">
        <v>0</v>
      </c>
      <c r="V469" s="99">
        <v>0</v>
      </c>
      <c r="W469" s="99">
        <v>0</v>
      </c>
      <c r="X469" t="s">
        <v>16</v>
      </c>
      <c r="AC469"/>
      <c r="AD469"/>
    </row>
    <row r="470" spans="1:30" x14ac:dyDescent="0.3">
      <c r="A470" s="4">
        <v>1379</v>
      </c>
      <c r="B470" s="8">
        <v>-29.098282552746259</v>
      </c>
      <c r="C470" s="8">
        <v>-28.603848890254181</v>
      </c>
      <c r="D470" s="8">
        <v>-27.95115606553281</v>
      </c>
      <c r="E470" s="8">
        <v>-27.632276018377155</v>
      </c>
      <c r="F470" s="6"/>
      <c r="G470" s="6"/>
      <c r="H470" s="6"/>
      <c r="I470" s="6"/>
      <c r="J470" s="4" t="s">
        <v>11</v>
      </c>
      <c r="K470" s="32">
        <f t="shared" si="43"/>
        <v>-28.321390881727602</v>
      </c>
      <c r="L470" s="32">
        <v>0.31888004715565543</v>
      </c>
      <c r="M470" s="32">
        <v>0.65269282472137036</v>
      </c>
      <c r="N470" s="32">
        <v>0.49443366249207799</v>
      </c>
      <c r="O470" s="32">
        <v>1.0593496795452353</v>
      </c>
      <c r="P470" s="128">
        <f t="shared" si="44"/>
        <v>1.1471264872134483</v>
      </c>
      <c r="Q470" s="128">
        <f t="shared" si="45"/>
        <v>0.65269282472137036</v>
      </c>
      <c r="R470" s="128">
        <f t="shared" si="46"/>
        <v>0.89990965596740935</v>
      </c>
      <c r="S470" s="115">
        <v>0</v>
      </c>
      <c r="T470" s="99">
        <v>0</v>
      </c>
      <c r="U470" s="99">
        <v>0</v>
      </c>
      <c r="V470" s="99">
        <v>0</v>
      </c>
      <c r="W470" s="99">
        <v>0</v>
      </c>
      <c r="X470" t="s">
        <v>16</v>
      </c>
      <c r="AC470"/>
      <c r="AD470"/>
    </row>
    <row r="471" spans="1:30" x14ac:dyDescent="0.3">
      <c r="A471" s="4">
        <v>1384</v>
      </c>
      <c r="B471" s="8">
        <v>-29.767745405109608</v>
      </c>
      <c r="C471" s="8">
        <v>-29.635352795524138</v>
      </c>
      <c r="D471" s="8">
        <v>-29.229190048507654</v>
      </c>
      <c r="E471" s="8">
        <v>-29.833663783775634</v>
      </c>
      <c r="F471" s="6"/>
      <c r="G471" s="6"/>
      <c r="H471" s="6"/>
      <c r="I471" s="6"/>
      <c r="J471" s="4" t="s">
        <v>18</v>
      </c>
      <c r="K471" s="32">
        <f t="shared" si="43"/>
        <v>-29.616488008229258</v>
      </c>
      <c r="L471" s="32">
        <v>-0.60447373526798032</v>
      </c>
      <c r="M471" s="32">
        <v>0.40616274701648436</v>
      </c>
      <c r="N471" s="32">
        <v>0.1323926095854695</v>
      </c>
      <c r="O471" s="32">
        <v>0.17012218417523073</v>
      </c>
      <c r="P471" s="128">
        <f t="shared" si="44"/>
        <v>-6.5918378666026456E-2</v>
      </c>
      <c r="Q471" s="128">
        <f t="shared" si="45"/>
        <v>-0.19831098825149596</v>
      </c>
      <c r="R471" s="128">
        <f t="shared" si="46"/>
        <v>-0.13211468345875943</v>
      </c>
      <c r="S471" s="115">
        <v>0</v>
      </c>
      <c r="T471" s="99">
        <v>0</v>
      </c>
      <c r="U471" s="99">
        <v>0</v>
      </c>
      <c r="V471" s="99">
        <v>0</v>
      </c>
      <c r="W471" s="99">
        <v>0</v>
      </c>
      <c r="X471" t="s">
        <v>16</v>
      </c>
      <c r="AC471"/>
      <c r="AD471"/>
    </row>
    <row r="472" spans="1:30" x14ac:dyDescent="0.3">
      <c r="A472" s="4">
        <v>1385</v>
      </c>
      <c r="B472" s="8">
        <v>-29.437653723123375</v>
      </c>
      <c r="C472" s="8">
        <v>-29.697831293508095</v>
      </c>
      <c r="D472" s="8">
        <v>-30.109018721830346</v>
      </c>
      <c r="E472" s="8">
        <v>-29.573521227241784</v>
      </c>
      <c r="F472" s="6"/>
      <c r="G472" s="6"/>
      <c r="H472" s="6"/>
      <c r="I472" s="6"/>
      <c r="J472" s="4" t="s">
        <v>18</v>
      </c>
      <c r="K472" s="32">
        <f t="shared" si="43"/>
        <v>-29.7045062414259</v>
      </c>
      <c r="L472" s="32">
        <v>0.53549749458856155</v>
      </c>
      <c r="M472" s="32">
        <v>-0.41118742832225053</v>
      </c>
      <c r="N472" s="32">
        <v>-0.26017757038471956</v>
      </c>
      <c r="O472" s="32">
        <v>-0.27352746622032953</v>
      </c>
      <c r="P472" s="128">
        <f t="shared" si="44"/>
        <v>-0.41118742832225053</v>
      </c>
      <c r="Q472" s="128">
        <f t="shared" si="45"/>
        <v>-0.67136499870697008</v>
      </c>
      <c r="R472" s="128">
        <f t="shared" si="46"/>
        <v>-0.5412762135146103</v>
      </c>
      <c r="S472" s="115">
        <v>1</v>
      </c>
      <c r="T472" s="99">
        <v>1</v>
      </c>
      <c r="U472" s="99">
        <v>1</v>
      </c>
      <c r="V472" s="99">
        <v>1</v>
      </c>
      <c r="W472" s="99">
        <v>0</v>
      </c>
      <c r="X472" t="s">
        <v>16</v>
      </c>
      <c r="AC472"/>
      <c r="AD472"/>
    </row>
    <row r="473" spans="1:30" x14ac:dyDescent="0.3">
      <c r="A473" s="4">
        <v>1386</v>
      </c>
      <c r="B473" s="8">
        <v>-29.898565242228759</v>
      </c>
      <c r="C473" s="8">
        <v>-30.312733502007259</v>
      </c>
      <c r="D473" s="8">
        <v>-29.655254007238597</v>
      </c>
      <c r="E473" s="8">
        <v>-29.73921634545578</v>
      </c>
      <c r="F473" s="6"/>
      <c r="G473" s="6"/>
      <c r="H473" s="6"/>
      <c r="I473" s="6"/>
      <c r="J473" s="4" t="s">
        <v>18</v>
      </c>
      <c r="K473" s="32">
        <f t="shared" si="43"/>
        <v>-29.9014422742326</v>
      </c>
      <c r="L473" s="32">
        <v>-8.3962338217183685E-2</v>
      </c>
      <c r="M473" s="32">
        <v>0.65747949476866197</v>
      </c>
      <c r="N473" s="32">
        <v>-0.41416825977849925</v>
      </c>
      <c r="O473" s="32">
        <v>0.4084141957708205</v>
      </c>
      <c r="P473" s="128">
        <f t="shared" si="44"/>
        <v>0.57351715655147828</v>
      </c>
      <c r="Q473" s="128">
        <f t="shared" si="45"/>
        <v>0.15934889677297903</v>
      </c>
      <c r="R473" s="128">
        <f t="shared" si="46"/>
        <v>0.36643302666222866</v>
      </c>
      <c r="S473" s="115">
        <v>0</v>
      </c>
      <c r="T473" s="99">
        <v>1</v>
      </c>
      <c r="U473" s="99">
        <v>1</v>
      </c>
      <c r="V473" s="99">
        <v>1</v>
      </c>
      <c r="W473" s="99">
        <v>0</v>
      </c>
      <c r="X473" t="s">
        <v>16</v>
      </c>
      <c r="AC473"/>
      <c r="AD473"/>
    </row>
    <row r="474" spans="1:30" x14ac:dyDescent="0.3">
      <c r="A474" s="4">
        <v>1389</v>
      </c>
      <c r="B474" s="8">
        <v>-29.753982568346224</v>
      </c>
      <c r="C474" s="8">
        <v>-30.192156884128686</v>
      </c>
      <c r="D474" s="8">
        <v>-33.301732441675171</v>
      </c>
      <c r="E474" s="8">
        <v>-31.232841686418272</v>
      </c>
      <c r="F474" s="6"/>
      <c r="G474" s="6"/>
      <c r="H474" s="6"/>
      <c r="I474" s="6"/>
      <c r="J474" s="4" t="s">
        <v>18</v>
      </c>
      <c r="K474" s="32">
        <f t="shared" si="43"/>
        <v>-31.120178395142087</v>
      </c>
      <c r="L474" s="32">
        <v>2.0688907552568985</v>
      </c>
      <c r="M474" s="32">
        <v>-3.109575557546485</v>
      </c>
      <c r="N474" s="32">
        <v>-0.43817431578246158</v>
      </c>
      <c r="O474" s="32">
        <v>-2.2942173378092647</v>
      </c>
      <c r="P474" s="128">
        <f t="shared" si="44"/>
        <v>-3.109575557546485</v>
      </c>
      <c r="Q474" s="128">
        <f t="shared" si="45"/>
        <v>-3.5477498733289465</v>
      </c>
      <c r="R474" s="128">
        <f t="shared" si="46"/>
        <v>-3.3286627154377157</v>
      </c>
      <c r="S474" s="115">
        <v>1</v>
      </c>
      <c r="T474" s="99">
        <v>1</v>
      </c>
      <c r="U474" s="99">
        <v>1</v>
      </c>
      <c r="V474" s="99">
        <v>1</v>
      </c>
      <c r="W474" s="99">
        <v>0</v>
      </c>
      <c r="X474" t="s">
        <v>16</v>
      </c>
      <c r="AC474"/>
      <c r="AD474"/>
    </row>
    <row r="475" spans="1:30" x14ac:dyDescent="0.3">
      <c r="A475" s="4">
        <v>1392</v>
      </c>
      <c r="B475" s="8">
        <v>-28.909530200970615</v>
      </c>
      <c r="C475" s="8">
        <v>-29.777818181999105</v>
      </c>
      <c r="D475" s="8">
        <v>-29.269962340189309</v>
      </c>
      <c r="E475" s="8">
        <v>-30.214683528044063</v>
      </c>
      <c r="F475" s="6"/>
      <c r="G475" s="6"/>
      <c r="H475" s="8">
        <v>-29.122920343878981</v>
      </c>
      <c r="I475" s="6"/>
      <c r="J475" s="4" t="s">
        <v>18</v>
      </c>
      <c r="K475" s="32">
        <f t="shared" si="43"/>
        <v>-29.542998562800772</v>
      </c>
      <c r="L475" s="32">
        <v>-0.94472118785475345</v>
      </c>
      <c r="M475" s="32">
        <v>0.50785584180979626</v>
      </c>
      <c r="N475" s="32">
        <v>-0.86828798102849092</v>
      </c>
      <c r="O475" s="32">
        <v>-0.3986487426318277</v>
      </c>
      <c r="P475" s="128">
        <f t="shared" si="44"/>
        <v>-0.43686534604495719</v>
      </c>
      <c r="Q475" s="128">
        <f t="shared" si="45"/>
        <v>-1.3051533270734481</v>
      </c>
      <c r="R475" s="128">
        <f t="shared" si="46"/>
        <v>-0.87100933655920443</v>
      </c>
      <c r="S475" s="115">
        <v>0</v>
      </c>
      <c r="T475" s="99">
        <v>1</v>
      </c>
      <c r="U475" s="99">
        <v>1</v>
      </c>
      <c r="V475" s="99">
        <v>1</v>
      </c>
      <c r="W475" s="99">
        <v>0</v>
      </c>
      <c r="X475" t="s">
        <v>16</v>
      </c>
      <c r="AC475"/>
      <c r="AD475"/>
    </row>
    <row r="476" spans="1:30" x14ac:dyDescent="0.3">
      <c r="A476" s="4">
        <v>1393</v>
      </c>
      <c r="B476" s="8">
        <v>-28.949258880858395</v>
      </c>
      <c r="C476" s="8">
        <v>-29.838917341916783</v>
      </c>
      <c r="D476" s="8">
        <v>-29.441692721826108</v>
      </c>
      <c r="E476" s="8">
        <v>-30.656130631390369</v>
      </c>
      <c r="F476" s="6"/>
      <c r="G476" s="6"/>
      <c r="H476" s="8">
        <v>-29.517803349539509</v>
      </c>
      <c r="I476" s="6"/>
      <c r="J476" s="4" t="s">
        <v>18</v>
      </c>
      <c r="K476" s="32">
        <f t="shared" si="43"/>
        <v>-29.721499893997915</v>
      </c>
      <c r="L476" s="32">
        <v>-1.2144379095642606</v>
      </c>
      <c r="M476" s="32">
        <v>0.39722462009067527</v>
      </c>
      <c r="N476" s="32">
        <v>-0.88965846105838864</v>
      </c>
      <c r="O476" s="32">
        <v>-0.65482356522064933</v>
      </c>
      <c r="P476" s="128">
        <f t="shared" si="44"/>
        <v>-0.81721328947358529</v>
      </c>
      <c r="Q476" s="128">
        <f t="shared" si="45"/>
        <v>-1.7068717505319739</v>
      </c>
      <c r="R476" s="128">
        <f t="shared" si="46"/>
        <v>-1.2620425200027796</v>
      </c>
      <c r="S476" s="115">
        <v>0</v>
      </c>
      <c r="T476" s="99">
        <v>1</v>
      </c>
      <c r="U476" s="99">
        <v>1</v>
      </c>
      <c r="V476" s="99">
        <v>1</v>
      </c>
      <c r="W476" s="99">
        <v>0</v>
      </c>
      <c r="X476" t="s">
        <v>16</v>
      </c>
      <c r="AC476"/>
      <c r="AD476"/>
    </row>
    <row r="477" spans="1:30" x14ac:dyDescent="0.3">
      <c r="A477" s="4">
        <v>1394</v>
      </c>
      <c r="B477" s="8">
        <v>-29.260383408132405</v>
      </c>
      <c r="C477" s="8">
        <v>-29.806622763336591</v>
      </c>
      <c r="D477" s="8">
        <v>-29.334265916844323</v>
      </c>
      <c r="E477" s="8">
        <v>-30.637371139524628</v>
      </c>
      <c r="F477" s="6"/>
      <c r="G477" s="6"/>
      <c r="H477" s="8">
        <v>-29.762862197365514</v>
      </c>
      <c r="I477" s="6"/>
      <c r="J477" s="4" t="s">
        <v>18</v>
      </c>
      <c r="K477" s="32">
        <f t="shared" si="43"/>
        <v>-29.759660806959488</v>
      </c>
      <c r="L477" s="32">
        <v>-1.3031052226803048</v>
      </c>
      <c r="M477" s="32">
        <v>0.47235684649226783</v>
      </c>
      <c r="N477" s="32">
        <v>-0.54623935520418598</v>
      </c>
      <c r="O477" s="32">
        <v>-0.45231544244997579</v>
      </c>
      <c r="P477" s="128">
        <f t="shared" si="44"/>
        <v>-0.83074837618803699</v>
      </c>
      <c r="Q477" s="128">
        <f t="shared" si="45"/>
        <v>-1.376987731392223</v>
      </c>
      <c r="R477" s="128">
        <f t="shared" si="46"/>
        <v>-1.10386805379013</v>
      </c>
      <c r="S477" s="115">
        <v>0</v>
      </c>
      <c r="T477" s="99">
        <v>1</v>
      </c>
      <c r="U477" s="99">
        <v>1</v>
      </c>
      <c r="V477" s="99">
        <v>1</v>
      </c>
      <c r="W477" s="99">
        <v>0</v>
      </c>
      <c r="X477" t="s">
        <v>16</v>
      </c>
      <c r="AC477"/>
      <c r="AD477"/>
    </row>
    <row r="478" spans="1:30" x14ac:dyDescent="0.3">
      <c r="A478" s="4">
        <v>1395</v>
      </c>
      <c r="B478" s="8">
        <v>-29.691136236207793</v>
      </c>
      <c r="C478" s="8">
        <v>-29.781889654671843</v>
      </c>
      <c r="D478" s="8">
        <v>-28.840625842900909</v>
      </c>
      <c r="E478" s="8">
        <v>-31.028334116976556</v>
      </c>
      <c r="F478" s="6"/>
      <c r="G478" s="6"/>
      <c r="H478" s="8">
        <v>-29.756011913464967</v>
      </c>
      <c r="I478" s="6"/>
      <c r="J478" s="4" t="s">
        <v>18</v>
      </c>
      <c r="K478" s="32">
        <f t="shared" si="43"/>
        <v>-29.835496462689274</v>
      </c>
      <c r="L478" s="32">
        <v>-2.1877082740756464</v>
      </c>
      <c r="M478" s="32">
        <v>0.94126381177093421</v>
      </c>
      <c r="N478" s="32">
        <v>-9.0753418464050384E-2</v>
      </c>
      <c r="O478" s="32">
        <v>-0.1979670344989124</v>
      </c>
      <c r="P478" s="128">
        <f t="shared" si="44"/>
        <v>-1.2464444623047122</v>
      </c>
      <c r="Q478" s="128">
        <f t="shared" si="45"/>
        <v>-1.3371978807687626</v>
      </c>
      <c r="R478" s="128">
        <f t="shared" si="46"/>
        <v>-1.2918211715367356</v>
      </c>
      <c r="S478" s="115">
        <v>0</v>
      </c>
      <c r="T478" s="99">
        <v>1</v>
      </c>
      <c r="U478" s="99">
        <v>1</v>
      </c>
      <c r="V478" s="99">
        <v>1</v>
      </c>
      <c r="W478" s="99">
        <v>0</v>
      </c>
      <c r="X478" t="s">
        <v>16</v>
      </c>
      <c r="AC478"/>
      <c r="AD478"/>
    </row>
    <row r="479" spans="1:30" x14ac:dyDescent="0.3">
      <c r="A479" s="4">
        <v>1396</v>
      </c>
      <c r="B479" s="8">
        <v>-29.689110060348014</v>
      </c>
      <c r="C479" s="8">
        <v>-29.4448406640564</v>
      </c>
      <c r="D479" s="8">
        <v>-29.412015191759338</v>
      </c>
      <c r="E479" s="8">
        <v>-30.923698316588961</v>
      </c>
      <c r="F479" s="6"/>
      <c r="G479" s="6"/>
      <c r="H479" s="8">
        <v>-29.6482872288503</v>
      </c>
      <c r="I479" s="6"/>
      <c r="J479" s="4" t="s">
        <v>18</v>
      </c>
      <c r="K479" s="32">
        <f t="shared" si="43"/>
        <v>-29.867416058188176</v>
      </c>
      <c r="L479" s="32">
        <v>-1.5116831248296236</v>
      </c>
      <c r="M479" s="32">
        <v>3.2825472297062674E-2</v>
      </c>
      <c r="N479" s="32">
        <v>0.24426939629161382</v>
      </c>
      <c r="O479" s="32">
        <v>-0.60088139197194224</v>
      </c>
      <c r="P479" s="128">
        <f t="shared" si="44"/>
        <v>-1.2345882562409471</v>
      </c>
      <c r="Q479" s="128">
        <f t="shared" si="45"/>
        <v>-1.478857652532561</v>
      </c>
      <c r="R479" s="128">
        <f t="shared" si="46"/>
        <v>-1.3567229543867541</v>
      </c>
      <c r="S479" s="115">
        <v>0</v>
      </c>
      <c r="T479" s="99">
        <v>0</v>
      </c>
      <c r="U479" s="99">
        <v>0</v>
      </c>
      <c r="V479" s="99">
        <v>0</v>
      </c>
      <c r="W479" s="99">
        <v>0</v>
      </c>
      <c r="X479" t="s">
        <v>16</v>
      </c>
      <c r="AC479"/>
      <c r="AD479"/>
    </row>
    <row r="480" spans="1:30" x14ac:dyDescent="0.3">
      <c r="A480" s="4">
        <v>1397</v>
      </c>
      <c r="B480" s="8">
        <v>-29.821105018147023</v>
      </c>
      <c r="C480" s="8">
        <v>-29.807357958656148</v>
      </c>
      <c r="D480" s="8">
        <v>-29.759086689056225</v>
      </c>
      <c r="E480" s="8">
        <v>-30.541684432212705</v>
      </c>
      <c r="F480" s="6"/>
      <c r="G480" s="6"/>
      <c r="H480" s="8">
        <v>-29.740635098639927</v>
      </c>
      <c r="I480" s="6"/>
      <c r="J480" s="4" t="s">
        <v>18</v>
      </c>
      <c r="K480" s="32">
        <f t="shared" si="43"/>
        <v>-29.982308524518025</v>
      </c>
      <c r="L480" s="32">
        <v>-0.78259774315647945</v>
      </c>
      <c r="M480" s="32">
        <v>4.8271269599922562E-2</v>
      </c>
      <c r="N480" s="32">
        <v>1.3747059490874847E-2</v>
      </c>
      <c r="O480" s="32">
        <v>-0.33615407223287974</v>
      </c>
      <c r="P480" s="128">
        <f t="shared" si="44"/>
        <v>-0.72057941406568204</v>
      </c>
      <c r="Q480" s="128">
        <f t="shared" si="45"/>
        <v>-0.73432647355655689</v>
      </c>
      <c r="R480" s="128">
        <f t="shared" si="46"/>
        <v>-0.72745294381111947</v>
      </c>
      <c r="S480" s="115">
        <v>0</v>
      </c>
      <c r="T480" s="99">
        <v>0</v>
      </c>
      <c r="U480" s="99">
        <v>0</v>
      </c>
      <c r="V480" s="99">
        <v>0</v>
      </c>
      <c r="W480" s="99">
        <v>0</v>
      </c>
      <c r="X480" t="s">
        <v>16</v>
      </c>
      <c r="AC480"/>
      <c r="AD480"/>
    </row>
    <row r="481" spans="1:30" x14ac:dyDescent="0.3">
      <c r="A481" s="4">
        <v>1398</v>
      </c>
      <c r="B481" s="8">
        <v>-29.868573879802796</v>
      </c>
      <c r="C481" s="8">
        <v>-29.658509218779635</v>
      </c>
      <c r="D481" s="8">
        <v>-29.671905465347489</v>
      </c>
      <c r="E481" s="8">
        <v>-30.789510647893685</v>
      </c>
      <c r="F481" s="6"/>
      <c r="G481" s="6"/>
      <c r="H481" s="8">
        <v>-29.278031919825885</v>
      </c>
      <c r="I481" s="6"/>
      <c r="J481" s="4" t="s">
        <v>18</v>
      </c>
      <c r="K481" s="32">
        <f t="shared" si="43"/>
        <v>-29.997124802955902</v>
      </c>
      <c r="L481" s="32">
        <v>-1.1176051825461961</v>
      </c>
      <c r="M481" s="32">
        <v>-1.339624656785432E-2</v>
      </c>
      <c r="N481" s="32">
        <v>0.21006466102316068</v>
      </c>
      <c r="O481" s="32">
        <v>-0.46716650732937026</v>
      </c>
      <c r="P481" s="128">
        <f t="shared" si="44"/>
        <v>-0.92093676809088976</v>
      </c>
      <c r="Q481" s="128">
        <f t="shared" si="45"/>
        <v>-1.1310014291140504</v>
      </c>
      <c r="R481" s="128">
        <f t="shared" si="46"/>
        <v>-1.0259690986024701</v>
      </c>
      <c r="S481" s="115">
        <v>0</v>
      </c>
      <c r="T481" s="99">
        <v>0</v>
      </c>
      <c r="U481" s="99">
        <v>0</v>
      </c>
      <c r="V481" s="99">
        <v>0</v>
      </c>
      <c r="W481" s="99">
        <v>0</v>
      </c>
      <c r="X481" t="s">
        <v>16</v>
      </c>
      <c r="AC481"/>
      <c r="AD481"/>
    </row>
    <row r="482" spans="1:30" x14ac:dyDescent="0.3">
      <c r="A482" s="4">
        <v>1399</v>
      </c>
      <c r="B482" s="8">
        <v>-29.829380412952347</v>
      </c>
      <c r="C482" s="8">
        <v>-29.588838533040196</v>
      </c>
      <c r="D482" s="8">
        <v>-29.602663904443283</v>
      </c>
      <c r="E482" s="8">
        <v>-30.973517165917201</v>
      </c>
      <c r="F482" s="6"/>
      <c r="G482" s="6"/>
      <c r="H482" s="8">
        <v>-29.739736987019491</v>
      </c>
      <c r="I482" s="6"/>
      <c r="J482" s="4" t="s">
        <v>18</v>
      </c>
      <c r="K482" s="32">
        <f t="shared" si="43"/>
        <v>-29.998600004088257</v>
      </c>
      <c r="L482" s="32">
        <v>-1.3708532614739184</v>
      </c>
      <c r="M482" s="32">
        <v>-1.3825371403086706E-2</v>
      </c>
      <c r="N482" s="32">
        <v>0.24054187991215059</v>
      </c>
      <c r="O482" s="32">
        <v>-0.57898106218397061</v>
      </c>
      <c r="P482" s="128">
        <f t="shared" si="44"/>
        <v>-1.1441367529648545</v>
      </c>
      <c r="Q482" s="128">
        <f t="shared" si="45"/>
        <v>-1.3846786328770051</v>
      </c>
      <c r="R482" s="128">
        <f t="shared" si="46"/>
        <v>-1.2644076929209298</v>
      </c>
      <c r="S482" s="115">
        <v>0</v>
      </c>
      <c r="T482" s="99">
        <v>0</v>
      </c>
      <c r="U482" s="99">
        <v>0</v>
      </c>
      <c r="V482" s="99">
        <v>0</v>
      </c>
      <c r="W482" s="99">
        <v>0</v>
      </c>
      <c r="X482" t="s">
        <v>16</v>
      </c>
      <c r="AC482"/>
      <c r="AD482"/>
    </row>
    <row r="483" spans="1:30" x14ac:dyDescent="0.3">
      <c r="A483" s="4">
        <v>1400</v>
      </c>
      <c r="B483" s="8">
        <v>-29.691649695784669</v>
      </c>
      <c r="C483" s="8">
        <v>-29.543168655306356</v>
      </c>
      <c r="D483" s="8">
        <v>-29.551195873216773</v>
      </c>
      <c r="E483" s="8">
        <v>-30.901220577405191</v>
      </c>
      <c r="F483" s="6"/>
      <c r="G483" s="6"/>
      <c r="H483" s="8">
        <v>-29.526760750115837</v>
      </c>
      <c r="I483" s="6"/>
      <c r="J483" s="4" t="s">
        <v>18</v>
      </c>
      <c r="K483" s="32">
        <f t="shared" si="43"/>
        <v>-29.921808700428244</v>
      </c>
      <c r="L483" s="32">
        <v>-1.3500247041884172</v>
      </c>
      <c r="M483" s="32">
        <v>-8.0272179104170505E-3</v>
      </c>
      <c r="N483" s="32">
        <v>0.14848104047831256</v>
      </c>
      <c r="O483" s="32">
        <v>-0.60879904976547294</v>
      </c>
      <c r="P483" s="128">
        <f t="shared" si="44"/>
        <v>-1.2095708816205217</v>
      </c>
      <c r="Q483" s="128">
        <f t="shared" si="45"/>
        <v>-1.3580519220988343</v>
      </c>
      <c r="R483" s="128">
        <f t="shared" si="46"/>
        <v>-1.2838114018596798</v>
      </c>
      <c r="S483" s="115">
        <v>0</v>
      </c>
      <c r="T483" s="99">
        <v>0</v>
      </c>
      <c r="U483" s="99">
        <v>0</v>
      </c>
      <c r="V483" s="99">
        <v>0</v>
      </c>
      <c r="W483" s="99">
        <v>0</v>
      </c>
      <c r="X483" t="s">
        <v>16</v>
      </c>
      <c r="AC483"/>
      <c r="AD483"/>
    </row>
    <row r="484" spans="1:30" x14ac:dyDescent="0.3">
      <c r="A484" s="4">
        <v>1401</v>
      </c>
      <c r="B484" s="8">
        <v>-29.75101800996077</v>
      </c>
      <c r="C484" s="8">
        <v>-29.277286271737893</v>
      </c>
      <c r="D484" s="8">
        <v>-29.464708898336873</v>
      </c>
      <c r="E484" s="8">
        <v>-30.994045806008021</v>
      </c>
      <c r="F484" s="6"/>
      <c r="G484" s="6"/>
      <c r="H484" s="8">
        <v>-29.627079045859119</v>
      </c>
      <c r="I484" s="6"/>
      <c r="J484" s="4" t="s">
        <v>18</v>
      </c>
      <c r="K484" s="32">
        <f t="shared" si="43"/>
        <v>-29.871764746510891</v>
      </c>
      <c r="L484" s="32">
        <v>-1.5293369076711478</v>
      </c>
      <c r="M484" s="32">
        <v>-0.18742262659898046</v>
      </c>
      <c r="N484" s="32">
        <v>0.4737317382228774</v>
      </c>
      <c r="O484" s="32">
        <v>-0.71522521132311567</v>
      </c>
      <c r="P484" s="128">
        <f t="shared" si="44"/>
        <v>-1.2430277960472509</v>
      </c>
      <c r="Q484" s="128">
        <f t="shared" si="45"/>
        <v>-1.7167595342701283</v>
      </c>
      <c r="R484" s="128">
        <f t="shared" si="46"/>
        <v>-1.4798936651586878</v>
      </c>
      <c r="S484" s="115">
        <v>0</v>
      </c>
      <c r="T484" s="99">
        <v>0</v>
      </c>
      <c r="U484" s="99">
        <v>0</v>
      </c>
      <c r="V484" s="99">
        <v>0</v>
      </c>
      <c r="W484" s="99">
        <v>0</v>
      </c>
      <c r="X484" t="s">
        <v>16</v>
      </c>
      <c r="AC484"/>
      <c r="AD484"/>
    </row>
    <row r="485" spans="1:30" x14ac:dyDescent="0.3">
      <c r="A485" s="4">
        <v>1402</v>
      </c>
      <c r="B485" s="8">
        <v>-29.815815375019262</v>
      </c>
      <c r="C485" s="8">
        <v>-29.185113514601934</v>
      </c>
      <c r="D485" s="8">
        <v>-29.514772260298145</v>
      </c>
      <c r="E485" s="8">
        <v>-30.544596852191301</v>
      </c>
      <c r="F485" s="6"/>
      <c r="G485" s="6"/>
      <c r="H485" s="8">
        <v>-29.577570562930006</v>
      </c>
      <c r="I485" s="6"/>
      <c r="J485" s="4" t="s">
        <v>18</v>
      </c>
      <c r="K485" s="32">
        <f t="shared" si="43"/>
        <v>-29.76507450052766</v>
      </c>
      <c r="L485" s="32">
        <v>-1.0298245918931563</v>
      </c>
      <c r="M485" s="32">
        <v>-0.32965874569621079</v>
      </c>
      <c r="N485" s="32">
        <v>0.63070186041732867</v>
      </c>
      <c r="O485" s="32">
        <v>-0.52922011143412817</v>
      </c>
      <c r="P485" s="128">
        <f t="shared" si="44"/>
        <v>-0.72878147717203845</v>
      </c>
      <c r="Q485" s="128">
        <f t="shared" si="45"/>
        <v>-1.3594833375893671</v>
      </c>
      <c r="R485" s="128">
        <f t="shared" si="46"/>
        <v>-1.0441324073807046</v>
      </c>
      <c r="S485" s="115">
        <v>0</v>
      </c>
      <c r="T485" s="99">
        <v>0</v>
      </c>
      <c r="U485" s="99">
        <v>0</v>
      </c>
      <c r="V485" s="99">
        <v>0</v>
      </c>
      <c r="W485" s="99">
        <v>0</v>
      </c>
      <c r="X485" t="s">
        <v>16</v>
      </c>
      <c r="AC485"/>
      <c r="AD485"/>
    </row>
    <row r="486" spans="1:30" x14ac:dyDescent="0.3">
      <c r="A486" s="4">
        <v>1403</v>
      </c>
      <c r="B486" s="8">
        <v>-29.259554644386405</v>
      </c>
      <c r="C486" s="8">
        <v>-29.242801893111935</v>
      </c>
      <c r="D486" s="8">
        <v>-29.28133784242042</v>
      </c>
      <c r="E486" s="8">
        <v>-30.315070448494531</v>
      </c>
      <c r="F486" s="6"/>
      <c r="G486" s="6"/>
      <c r="H486" s="8">
        <v>-29.472623510531292</v>
      </c>
      <c r="I486" s="6"/>
      <c r="J486" s="4" t="s">
        <v>18</v>
      </c>
      <c r="K486" s="32">
        <f t="shared" si="43"/>
        <v>-29.524691207103324</v>
      </c>
      <c r="L486" s="32">
        <v>-1.0337326060741105</v>
      </c>
      <c r="M486" s="32">
        <v>-3.8535949308485584E-2</v>
      </c>
      <c r="N486" s="32">
        <v>1.6752751274470512E-2</v>
      </c>
      <c r="O486" s="32">
        <v>-0.54702587670830383</v>
      </c>
      <c r="P486" s="128">
        <f t="shared" si="44"/>
        <v>-1.0555158041081256</v>
      </c>
      <c r="Q486" s="128">
        <f t="shared" si="45"/>
        <v>-1.0722685553825961</v>
      </c>
      <c r="R486" s="128">
        <f t="shared" si="46"/>
        <v>-1.0638921797453591</v>
      </c>
      <c r="S486" s="115">
        <v>0</v>
      </c>
      <c r="T486" s="99">
        <v>0</v>
      </c>
      <c r="U486" s="99">
        <v>0</v>
      </c>
      <c r="V486" s="99">
        <v>0</v>
      </c>
      <c r="W486" s="99">
        <v>0</v>
      </c>
      <c r="X486" t="s">
        <v>16</v>
      </c>
      <c r="AC486"/>
      <c r="AD486"/>
    </row>
    <row r="487" spans="1:30" x14ac:dyDescent="0.3">
      <c r="A487" s="4">
        <v>1404</v>
      </c>
      <c r="B487" s="8">
        <v>-30.214905763791101</v>
      </c>
      <c r="C487" s="8">
        <v>-29.690952818215756</v>
      </c>
      <c r="D487" s="8">
        <v>-29.793913496348047</v>
      </c>
      <c r="E487" s="8">
        <v>-31.184351517435012</v>
      </c>
      <c r="F487" s="6"/>
      <c r="G487" s="6"/>
      <c r="H487" s="8">
        <v>-30.217056718302402</v>
      </c>
      <c r="I487" s="6"/>
      <c r="J487" s="4" t="s">
        <v>18</v>
      </c>
      <c r="K487" s="32">
        <f t="shared" si="43"/>
        <v>-30.221030898947475</v>
      </c>
      <c r="L487" s="32">
        <v>-1.3904380210869647</v>
      </c>
      <c r="M487" s="32">
        <v>-0.10296067813229115</v>
      </c>
      <c r="N487" s="32">
        <v>0.52395294557534555</v>
      </c>
      <c r="O487" s="32">
        <v>-0.53620321588810071</v>
      </c>
      <c r="P487" s="128">
        <f t="shared" si="44"/>
        <v>-0.96944575364391028</v>
      </c>
      <c r="Q487" s="128">
        <f t="shared" si="45"/>
        <v>-1.4933986992192558</v>
      </c>
      <c r="R487" s="128">
        <f t="shared" si="46"/>
        <v>-1.2314222264315831</v>
      </c>
      <c r="S487" s="115">
        <v>0</v>
      </c>
      <c r="T487" s="99">
        <v>0</v>
      </c>
      <c r="U487" s="99">
        <v>0</v>
      </c>
      <c r="V487" s="99">
        <v>0</v>
      </c>
      <c r="W487" s="99">
        <v>0</v>
      </c>
      <c r="X487" t="s">
        <v>16</v>
      </c>
      <c r="AC487"/>
      <c r="AD487"/>
    </row>
    <row r="488" spans="1:30" x14ac:dyDescent="0.3">
      <c r="A488" s="4">
        <v>1405</v>
      </c>
      <c r="B488" s="8">
        <v>-29.935688862893564</v>
      </c>
      <c r="C488" s="8">
        <v>-30.214416650511239</v>
      </c>
      <c r="D488" s="8">
        <v>-29.67341780459958</v>
      </c>
      <c r="E488" s="8">
        <v>-30.698743913888563</v>
      </c>
      <c r="F488" s="6"/>
      <c r="G488" s="6"/>
      <c r="H488" s="8">
        <v>-30.357382327300321</v>
      </c>
      <c r="I488" s="6"/>
      <c r="J488" s="4" t="s">
        <v>18</v>
      </c>
      <c r="K488" s="32">
        <f t="shared" si="43"/>
        <v>-30.130566807973238</v>
      </c>
      <c r="L488" s="32">
        <v>-1.0253261092889829</v>
      </c>
      <c r="M488" s="32">
        <v>0.54099884591165903</v>
      </c>
      <c r="N488" s="32">
        <v>-0.27872778761767592</v>
      </c>
      <c r="O488" s="32">
        <v>-0.11102810254167039</v>
      </c>
      <c r="P488" s="128">
        <f t="shared" si="44"/>
        <v>-0.4843272633773239</v>
      </c>
      <c r="Q488" s="128">
        <f t="shared" si="45"/>
        <v>-0.76305505099499982</v>
      </c>
      <c r="R488" s="128">
        <f t="shared" si="46"/>
        <v>-0.62369115718616186</v>
      </c>
      <c r="S488" s="115">
        <v>0</v>
      </c>
      <c r="T488" s="99">
        <v>1</v>
      </c>
      <c r="U488" s="99">
        <v>1</v>
      </c>
      <c r="V488" s="99">
        <v>1</v>
      </c>
      <c r="W488" s="99">
        <v>0</v>
      </c>
      <c r="X488" t="s">
        <v>16</v>
      </c>
      <c r="AC488"/>
      <c r="AD488"/>
    </row>
    <row r="489" spans="1:30" x14ac:dyDescent="0.3">
      <c r="A489" s="4">
        <v>1406</v>
      </c>
      <c r="B489" s="8">
        <v>-29.223518486238902</v>
      </c>
      <c r="C489" s="8">
        <v>-29.192891487656961</v>
      </c>
      <c r="D489" s="8">
        <v>-29.781786058208606</v>
      </c>
      <c r="E489" s="8">
        <v>-31.023631042113855</v>
      </c>
      <c r="F489" s="6"/>
      <c r="G489" s="6"/>
      <c r="H489" s="8">
        <v>-29.57654640464003</v>
      </c>
      <c r="I489" s="6"/>
      <c r="J489" s="4" t="s">
        <v>18</v>
      </c>
      <c r="K489" s="32">
        <f t="shared" si="43"/>
        <v>-29.805456768554585</v>
      </c>
      <c r="L489" s="32">
        <v>-1.2418449839052492</v>
      </c>
      <c r="M489" s="32">
        <v>-0.58889457055164485</v>
      </c>
      <c r="N489" s="32">
        <v>3.0626998581940512E-2</v>
      </c>
      <c r="O489" s="32">
        <v>-1.1945035632132956</v>
      </c>
      <c r="P489" s="128">
        <f t="shared" si="44"/>
        <v>-1.8001125558749536</v>
      </c>
      <c r="Q489" s="128">
        <f t="shared" si="45"/>
        <v>-1.8307395544568941</v>
      </c>
      <c r="R489" s="128">
        <f t="shared" si="46"/>
        <v>-1.815426055165922</v>
      </c>
      <c r="S489" s="115">
        <v>0</v>
      </c>
      <c r="T489" s="99">
        <v>0</v>
      </c>
      <c r="U489" s="99">
        <v>0</v>
      </c>
      <c r="V489" s="99">
        <v>0</v>
      </c>
      <c r="W489" s="99">
        <v>0</v>
      </c>
      <c r="X489" t="s">
        <v>16</v>
      </c>
      <c r="AC489"/>
      <c r="AD489"/>
    </row>
    <row r="490" spans="1:30" x14ac:dyDescent="0.3">
      <c r="A490" s="4">
        <v>1407</v>
      </c>
      <c r="B490" s="8">
        <v>-29.428360027604825</v>
      </c>
      <c r="C490" s="8">
        <v>-29.435623622123373</v>
      </c>
      <c r="D490" s="8">
        <v>-29.016825661434094</v>
      </c>
      <c r="E490" s="8">
        <v>-29.73223752011026</v>
      </c>
      <c r="F490" s="6"/>
      <c r="G490" s="6"/>
      <c r="H490" s="8">
        <v>-29.512523316356159</v>
      </c>
      <c r="I490" s="6"/>
      <c r="J490" s="4" t="s">
        <v>18</v>
      </c>
      <c r="K490" s="32">
        <f t="shared" si="43"/>
        <v>-29.403261707818139</v>
      </c>
      <c r="L490" s="32">
        <v>-0.71541185867616619</v>
      </c>
      <c r="M490" s="32">
        <v>0.41879796068927888</v>
      </c>
      <c r="N490" s="32">
        <v>-7.2635945185481887E-3</v>
      </c>
      <c r="O490" s="32">
        <v>5.7460234091919915E-2</v>
      </c>
      <c r="P490" s="128">
        <f t="shared" si="44"/>
        <v>-0.29661389798688731</v>
      </c>
      <c r="Q490" s="128">
        <f t="shared" si="45"/>
        <v>-0.3038774925054355</v>
      </c>
      <c r="R490" s="128">
        <f t="shared" si="46"/>
        <v>-0.3002456952461614</v>
      </c>
      <c r="S490" s="115">
        <v>0</v>
      </c>
      <c r="T490" s="99">
        <v>1</v>
      </c>
      <c r="U490" s="99">
        <v>1</v>
      </c>
      <c r="V490" s="99">
        <v>1</v>
      </c>
      <c r="W490" s="99">
        <v>0</v>
      </c>
      <c r="X490" t="s">
        <v>16</v>
      </c>
      <c r="AC490"/>
      <c r="AD490"/>
    </row>
    <row r="491" spans="1:30" x14ac:dyDescent="0.3">
      <c r="A491" s="4">
        <v>1408</v>
      </c>
      <c r="B491" s="8">
        <v>-29.365553247485273</v>
      </c>
      <c r="C491" s="8">
        <v>-28.938553858673409</v>
      </c>
      <c r="D491" s="8">
        <v>-28.559709236937231</v>
      </c>
      <c r="E491" s="8">
        <v>-29.2456163377339</v>
      </c>
      <c r="F491" s="6"/>
      <c r="G491" s="6"/>
      <c r="H491" s="8">
        <v>-29.23171044264658</v>
      </c>
      <c r="I491" s="6"/>
      <c r="J491" s="4" t="s">
        <v>18</v>
      </c>
      <c r="K491" s="32">
        <f t="shared" si="43"/>
        <v>-29.027358170207457</v>
      </c>
      <c r="L491" s="32">
        <v>-0.68590710079666906</v>
      </c>
      <c r="M491" s="32">
        <v>0.37884462173617806</v>
      </c>
      <c r="N491" s="32">
        <v>0.42699938881186483</v>
      </c>
      <c r="O491" s="32">
        <v>0.24939076574377594</v>
      </c>
      <c r="P491" s="128">
        <f t="shared" si="44"/>
        <v>0.11993690975137383</v>
      </c>
      <c r="Q491" s="128">
        <f t="shared" si="45"/>
        <v>-0.307062479060491</v>
      </c>
      <c r="R491" s="128">
        <f t="shared" si="46"/>
        <v>-9.3562784654558584E-2</v>
      </c>
      <c r="S491" s="115">
        <v>0</v>
      </c>
      <c r="T491" s="99">
        <v>0</v>
      </c>
      <c r="U491" s="99">
        <v>0</v>
      </c>
      <c r="V491" s="99">
        <v>0</v>
      </c>
      <c r="W491" s="99">
        <v>0</v>
      </c>
      <c r="X491" t="s">
        <v>16</v>
      </c>
      <c r="AC491"/>
      <c r="AD491"/>
    </row>
    <row r="492" spans="1:30" s="47" customFormat="1" x14ac:dyDescent="0.3">
      <c r="A492" s="40">
        <v>1409</v>
      </c>
      <c r="B492" s="43"/>
      <c r="C492" s="43"/>
      <c r="D492" s="43" t="str">
        <f t="shared" ref="D492:D504" si="47">IF(AND(ISBLANK(F492),ISBLANK(G492)),"",IF(ISBLANK(F492),G492,IF(ISBLANK(G492),F492,(G492+F492)/2)))</f>
        <v/>
      </c>
      <c r="E492" s="43"/>
      <c r="F492" s="43"/>
      <c r="G492" s="43"/>
      <c r="H492" s="45">
        <v>-28.096897374701673</v>
      </c>
      <c r="I492" s="43"/>
      <c r="J492" s="4" t="s">
        <v>11</v>
      </c>
      <c r="K492" s="46" t="e">
        <f t="shared" si="43"/>
        <v>#DIV/0!</v>
      </c>
      <c r="L492" s="32" t="e">
        <v>#VALUE!</v>
      </c>
      <c r="M492" s="32" t="e">
        <v>#VALUE!</v>
      </c>
      <c r="N492" s="32">
        <v>0</v>
      </c>
      <c r="O492" s="32" t="e">
        <v>#DIV/0!</v>
      </c>
      <c r="P492" s="128" t="str">
        <f t="shared" si="44"/>
        <v/>
      </c>
      <c r="Q492" s="128" t="str">
        <f t="shared" si="45"/>
        <v/>
      </c>
      <c r="R492" s="128" t="str">
        <f t="shared" si="46"/>
        <v/>
      </c>
      <c r="S492" s="118"/>
      <c r="T492" s="104"/>
      <c r="U492" s="104"/>
      <c r="V492" s="104"/>
      <c r="W492" s="104"/>
      <c r="Y492"/>
    </row>
    <row r="493" spans="1:30" s="47" customFormat="1" x14ac:dyDescent="0.3">
      <c r="A493" s="40">
        <v>1410</v>
      </c>
      <c r="B493" s="43"/>
      <c r="C493" s="43"/>
      <c r="D493" s="43" t="str">
        <f t="shared" si="47"/>
        <v/>
      </c>
      <c r="E493" s="43"/>
      <c r="F493" s="43"/>
      <c r="G493" s="43"/>
      <c r="H493" s="45">
        <v>-30.216336673819008</v>
      </c>
      <c r="I493" s="43"/>
      <c r="J493" s="33" t="s">
        <v>18</v>
      </c>
      <c r="K493" s="46" t="e">
        <f t="shared" si="43"/>
        <v>#DIV/0!</v>
      </c>
      <c r="L493" s="32" t="e">
        <v>#VALUE!</v>
      </c>
      <c r="M493" s="32" t="e">
        <v>#VALUE!</v>
      </c>
      <c r="N493" s="32">
        <v>0</v>
      </c>
      <c r="O493" s="32" t="e">
        <v>#DIV/0!</v>
      </c>
      <c r="P493" s="128" t="str">
        <f t="shared" si="44"/>
        <v/>
      </c>
      <c r="Q493" s="128" t="str">
        <f t="shared" si="45"/>
        <v/>
      </c>
      <c r="R493" s="128" t="str">
        <f t="shared" si="46"/>
        <v/>
      </c>
      <c r="S493" s="118"/>
      <c r="T493" s="104"/>
      <c r="U493" s="104"/>
      <c r="V493" s="104"/>
      <c r="W493" s="104"/>
      <c r="Y493"/>
    </row>
    <row r="494" spans="1:30" s="47" customFormat="1" x14ac:dyDescent="0.3">
      <c r="A494" s="40">
        <v>1411</v>
      </c>
      <c r="B494" s="43"/>
      <c r="C494" s="43"/>
      <c r="D494" s="43" t="str">
        <f t="shared" si="47"/>
        <v/>
      </c>
      <c r="E494" s="43"/>
      <c r="F494" s="43"/>
      <c r="G494" s="43"/>
      <c r="H494" s="45">
        <v>-30.365035555789383</v>
      </c>
      <c r="I494" s="43"/>
      <c r="J494" s="33" t="s">
        <v>18</v>
      </c>
      <c r="K494" s="46" t="e">
        <f t="shared" si="43"/>
        <v>#DIV/0!</v>
      </c>
      <c r="L494" s="32" t="e">
        <v>#VALUE!</v>
      </c>
      <c r="M494" s="32" t="e">
        <v>#VALUE!</v>
      </c>
      <c r="N494" s="32">
        <v>0</v>
      </c>
      <c r="O494" s="32" t="e">
        <v>#DIV/0!</v>
      </c>
      <c r="P494" s="128" t="str">
        <f t="shared" si="44"/>
        <v/>
      </c>
      <c r="Q494" s="128" t="str">
        <f t="shared" si="45"/>
        <v/>
      </c>
      <c r="R494" s="128" t="str">
        <f t="shared" si="46"/>
        <v/>
      </c>
      <c r="S494" s="118"/>
      <c r="T494" s="104"/>
      <c r="U494" s="104"/>
      <c r="V494" s="104"/>
      <c r="W494" s="104"/>
      <c r="Y494"/>
    </row>
    <row r="495" spans="1:30" s="47" customFormat="1" x14ac:dyDescent="0.3">
      <c r="A495" s="40">
        <v>1412</v>
      </c>
      <c r="B495" s="43"/>
      <c r="C495" s="43"/>
      <c r="D495" s="43" t="str">
        <f t="shared" si="47"/>
        <v/>
      </c>
      <c r="E495" s="43"/>
      <c r="F495" s="43"/>
      <c r="G495" s="43"/>
      <c r="H495" s="45">
        <v>-29.621527446300718</v>
      </c>
      <c r="I495" s="43"/>
      <c r="J495" s="33" t="s">
        <v>18</v>
      </c>
      <c r="K495" s="46" t="e">
        <f t="shared" si="43"/>
        <v>#DIV/0!</v>
      </c>
      <c r="L495" s="32" t="e">
        <v>#VALUE!</v>
      </c>
      <c r="M495" s="32" t="e">
        <v>#VALUE!</v>
      </c>
      <c r="N495" s="32">
        <v>0</v>
      </c>
      <c r="O495" s="32" t="e">
        <v>#DIV/0!</v>
      </c>
      <c r="P495" s="128" t="str">
        <f t="shared" si="44"/>
        <v/>
      </c>
      <c r="Q495" s="128" t="str">
        <f t="shared" si="45"/>
        <v/>
      </c>
      <c r="R495" s="128" t="str">
        <f t="shared" si="46"/>
        <v/>
      </c>
      <c r="S495" s="118"/>
      <c r="T495" s="104"/>
      <c r="U495" s="104"/>
      <c r="V495" s="104"/>
      <c r="W495" s="104"/>
      <c r="Y495"/>
    </row>
    <row r="496" spans="1:30" s="47" customFormat="1" x14ac:dyDescent="0.3">
      <c r="A496" s="40">
        <v>1413</v>
      </c>
      <c r="B496" s="43"/>
      <c r="C496" s="43"/>
      <c r="D496" s="43" t="str">
        <f t="shared" si="47"/>
        <v/>
      </c>
      <c r="E496" s="43"/>
      <c r="F496" s="43"/>
      <c r="G496" s="43"/>
      <c r="H496" s="45">
        <v>-28.905261940868208</v>
      </c>
      <c r="I496" s="43"/>
      <c r="J496" s="33" t="s">
        <v>18</v>
      </c>
      <c r="K496" s="46" t="e">
        <f t="shared" si="43"/>
        <v>#DIV/0!</v>
      </c>
      <c r="L496" s="32" t="e">
        <v>#VALUE!</v>
      </c>
      <c r="M496" s="32" t="e">
        <v>#VALUE!</v>
      </c>
      <c r="N496" s="32">
        <v>0</v>
      </c>
      <c r="O496" s="32" t="e">
        <v>#DIV/0!</v>
      </c>
      <c r="P496" s="128" t="str">
        <f t="shared" si="44"/>
        <v/>
      </c>
      <c r="Q496" s="128" t="str">
        <f t="shared" si="45"/>
        <v/>
      </c>
      <c r="R496" s="128" t="str">
        <f t="shared" si="46"/>
        <v/>
      </c>
      <c r="S496" s="118"/>
      <c r="T496" s="104"/>
      <c r="U496" s="104"/>
      <c r="V496" s="104"/>
      <c r="W496" s="104"/>
      <c r="Y496"/>
    </row>
    <row r="497" spans="1:30" s="47" customFormat="1" x14ac:dyDescent="0.3">
      <c r="A497" s="40">
        <v>1414</v>
      </c>
      <c r="B497" s="45"/>
      <c r="C497" s="45">
        <v>-31.416473566074565</v>
      </c>
      <c r="D497" s="43">
        <f t="shared" si="47"/>
        <v>-31.215237324923955</v>
      </c>
      <c r="E497" s="43"/>
      <c r="F497" s="45">
        <v>-31.091755350921844</v>
      </c>
      <c r="G497" s="45">
        <v>-31.338719298926065</v>
      </c>
      <c r="H497" s="43"/>
      <c r="I497" s="40"/>
      <c r="J497" s="33" t="s">
        <v>18</v>
      </c>
      <c r="K497" s="46">
        <f t="shared" si="43"/>
        <v>-31.265546385211607</v>
      </c>
      <c r="L497" s="32">
        <v>31.215237324923955</v>
      </c>
      <c r="M497" s="32">
        <v>0.20123624115061034</v>
      </c>
      <c r="N497" s="32">
        <v>-31.416473566074565</v>
      </c>
      <c r="O497" s="32">
        <v>0.20123624115061034</v>
      </c>
      <c r="P497" s="128" t="str">
        <f t="shared" si="44"/>
        <v/>
      </c>
      <c r="Q497" s="128" t="str">
        <f t="shared" si="45"/>
        <v/>
      </c>
      <c r="R497" s="128" t="str">
        <f t="shared" si="46"/>
        <v/>
      </c>
      <c r="S497" s="118"/>
      <c r="T497" s="104"/>
      <c r="U497" s="104"/>
      <c r="V497" s="104"/>
      <c r="W497" s="104"/>
      <c r="Y497"/>
    </row>
    <row r="498" spans="1:30" s="47" customFormat="1" x14ac:dyDescent="0.3">
      <c r="A498" s="40">
        <v>1415</v>
      </c>
      <c r="B498" s="45"/>
      <c r="C498" s="45">
        <v>-31.964779513774197</v>
      </c>
      <c r="D498" s="43">
        <f t="shared" si="47"/>
        <v>-31.514955561237031</v>
      </c>
      <c r="E498" s="43"/>
      <c r="F498" s="45">
        <v>-31.393601028381209</v>
      </c>
      <c r="G498" s="45">
        <v>-31.636310094092856</v>
      </c>
      <c r="H498" s="43"/>
      <c r="I498" s="40"/>
      <c r="J498" s="33" t="s">
        <v>18</v>
      </c>
      <c r="K498" s="46">
        <f t="shared" si="43"/>
        <v>-31.627411549371324</v>
      </c>
      <c r="L498" s="32">
        <v>31.514955561237031</v>
      </c>
      <c r="M498" s="32">
        <v>0.44982395253716589</v>
      </c>
      <c r="N498" s="32">
        <v>-31.964779513774197</v>
      </c>
      <c r="O498" s="32">
        <v>0.44982395253716589</v>
      </c>
      <c r="P498" s="128" t="str">
        <f t="shared" si="44"/>
        <v/>
      </c>
      <c r="Q498" s="128" t="str">
        <f t="shared" si="45"/>
        <v/>
      </c>
      <c r="R498" s="128" t="str">
        <f t="shared" si="46"/>
        <v/>
      </c>
      <c r="S498" s="118"/>
      <c r="T498" s="104"/>
      <c r="U498" s="104"/>
      <c r="V498" s="104"/>
      <c r="W498" s="104"/>
      <c r="Y498"/>
    </row>
    <row r="499" spans="1:30" s="47" customFormat="1" x14ac:dyDescent="0.3">
      <c r="A499" s="40">
        <v>1416</v>
      </c>
      <c r="B499" s="45"/>
      <c r="C499" s="45">
        <v>-31.668320373600196</v>
      </c>
      <c r="D499" s="43" t="str">
        <f t="shared" si="47"/>
        <v/>
      </c>
      <c r="E499" s="43"/>
      <c r="F499" s="45"/>
      <c r="G499" s="45"/>
      <c r="H499" s="43"/>
      <c r="I499" s="40"/>
      <c r="J499" s="33" t="s">
        <v>18</v>
      </c>
      <c r="K499" s="46">
        <f t="shared" si="43"/>
        <v>-31.668320373600196</v>
      </c>
      <c r="L499" s="32" t="e">
        <v>#VALUE!</v>
      </c>
      <c r="M499" s="32" t="e">
        <v>#VALUE!</v>
      </c>
      <c r="N499" s="32">
        <v>-31.668320373600196</v>
      </c>
      <c r="O499" s="32" t="e">
        <v>#DIV/0!</v>
      </c>
      <c r="P499" s="128" t="str">
        <f t="shared" si="44"/>
        <v/>
      </c>
      <c r="Q499" s="128" t="str">
        <f t="shared" si="45"/>
        <v/>
      </c>
      <c r="R499" s="128" t="str">
        <f t="shared" si="46"/>
        <v/>
      </c>
      <c r="S499" s="118"/>
      <c r="T499" s="104"/>
      <c r="U499" s="104"/>
      <c r="V499" s="104"/>
      <c r="W499" s="104"/>
      <c r="Y499"/>
    </row>
    <row r="500" spans="1:30" s="47" customFormat="1" x14ac:dyDescent="0.3">
      <c r="A500" s="40">
        <v>1417</v>
      </c>
      <c r="B500" s="45">
        <v>-31.564782077527234</v>
      </c>
      <c r="C500" s="45">
        <v>-31.686833365683924</v>
      </c>
      <c r="D500" s="43" t="str">
        <f t="shared" si="47"/>
        <v/>
      </c>
      <c r="E500" s="43"/>
      <c r="F500" s="45"/>
      <c r="G500" s="45"/>
      <c r="H500" s="43"/>
      <c r="I500" s="40"/>
      <c r="J500" s="33" t="s">
        <v>18</v>
      </c>
      <c r="K500" s="46">
        <f t="shared" si="43"/>
        <v>-31.625807721605579</v>
      </c>
      <c r="L500" s="32" t="e">
        <v>#VALUE!</v>
      </c>
      <c r="M500" s="32" t="e">
        <v>#VALUE!</v>
      </c>
      <c r="N500" s="32">
        <v>-0.12205128815669042</v>
      </c>
      <c r="O500" s="32" t="e">
        <v>#DIV/0!</v>
      </c>
      <c r="P500" s="128" t="str">
        <f t="shared" si="44"/>
        <v/>
      </c>
      <c r="Q500" s="128" t="str">
        <f t="shared" si="45"/>
        <v/>
      </c>
      <c r="R500" s="128" t="str">
        <f t="shared" si="46"/>
        <v/>
      </c>
      <c r="S500" s="118"/>
      <c r="T500" s="104"/>
      <c r="U500" s="104"/>
      <c r="V500" s="104"/>
      <c r="W500" s="104"/>
      <c r="Y500"/>
    </row>
    <row r="501" spans="1:30" s="47" customFormat="1" x14ac:dyDescent="0.3">
      <c r="A501" s="40">
        <v>1418</v>
      </c>
      <c r="B501" s="45">
        <v>-31.513532378224863</v>
      </c>
      <c r="C501" s="45">
        <v>-30.837482927047461</v>
      </c>
      <c r="D501" s="43" t="str">
        <f t="shared" si="47"/>
        <v/>
      </c>
      <c r="E501" s="43"/>
      <c r="F501" s="45"/>
      <c r="G501" s="45"/>
      <c r="H501" s="43"/>
      <c r="I501" s="40"/>
      <c r="J501" s="33" t="s">
        <v>18</v>
      </c>
      <c r="K501" s="46">
        <f t="shared" si="43"/>
        <v>-31.175507652636163</v>
      </c>
      <c r="L501" s="32" t="e">
        <v>#VALUE!</v>
      </c>
      <c r="M501" s="32" t="e">
        <v>#VALUE!</v>
      </c>
      <c r="N501" s="32">
        <v>0.67604945117740201</v>
      </c>
      <c r="O501" s="32" t="e">
        <v>#DIV/0!</v>
      </c>
      <c r="P501" s="128" t="str">
        <f t="shared" si="44"/>
        <v/>
      </c>
      <c r="Q501" s="128" t="str">
        <f t="shared" si="45"/>
        <v/>
      </c>
      <c r="R501" s="128" t="str">
        <f t="shared" si="46"/>
        <v/>
      </c>
      <c r="S501" s="118"/>
      <c r="T501" s="104"/>
      <c r="U501" s="104"/>
      <c r="V501" s="104"/>
      <c r="W501" s="104"/>
      <c r="Y501"/>
    </row>
    <row r="502" spans="1:30" s="47" customFormat="1" x14ac:dyDescent="0.3">
      <c r="A502" s="40">
        <v>1419</v>
      </c>
      <c r="B502" s="45">
        <v>-33.543959089056472</v>
      </c>
      <c r="C502" s="45">
        <v>-32.067865953380192</v>
      </c>
      <c r="D502" s="43" t="str">
        <f t="shared" si="47"/>
        <v/>
      </c>
      <c r="E502" s="43"/>
      <c r="F502" s="45"/>
      <c r="G502" s="45"/>
      <c r="H502" s="43"/>
      <c r="I502" s="40"/>
      <c r="J502" s="33" t="s">
        <v>18</v>
      </c>
      <c r="K502" s="46">
        <f t="shared" si="43"/>
        <v>-32.805912521218332</v>
      </c>
      <c r="L502" s="32" t="e">
        <v>#VALUE!</v>
      </c>
      <c r="M502" s="32" t="e">
        <v>#VALUE!</v>
      </c>
      <c r="N502" s="32">
        <v>1.4760931356762796</v>
      </c>
      <c r="O502" s="32" t="e">
        <v>#DIV/0!</v>
      </c>
      <c r="P502" s="128" t="str">
        <f t="shared" si="44"/>
        <v/>
      </c>
      <c r="Q502" s="128" t="str">
        <f t="shared" si="45"/>
        <v/>
      </c>
      <c r="R502" s="128" t="str">
        <f t="shared" si="46"/>
        <v/>
      </c>
      <c r="S502" s="118"/>
      <c r="T502" s="104"/>
      <c r="U502" s="104"/>
      <c r="V502" s="104"/>
      <c r="W502" s="104"/>
      <c r="Y502"/>
    </row>
    <row r="503" spans="1:30" s="47" customFormat="1" x14ac:dyDescent="0.3">
      <c r="A503" s="40">
        <v>1420</v>
      </c>
      <c r="B503" s="45">
        <v>-29.823985123644622</v>
      </c>
      <c r="C503" s="45">
        <v>-28.603600641091859</v>
      </c>
      <c r="D503" s="43" t="str">
        <f t="shared" si="47"/>
        <v/>
      </c>
      <c r="E503" s="43"/>
      <c r="F503" s="45"/>
      <c r="G503" s="45"/>
      <c r="H503" s="43"/>
      <c r="I503" s="40"/>
      <c r="J503" s="33" t="s">
        <v>18</v>
      </c>
      <c r="K503" s="46">
        <f t="shared" si="43"/>
        <v>-29.213792882368239</v>
      </c>
      <c r="L503" s="32" t="e">
        <v>#VALUE!</v>
      </c>
      <c r="M503" s="32" t="e">
        <v>#VALUE!</v>
      </c>
      <c r="N503" s="32">
        <v>1.2203844825527632</v>
      </c>
      <c r="O503" s="32" t="e">
        <v>#DIV/0!</v>
      </c>
      <c r="P503" s="128" t="str">
        <f t="shared" si="44"/>
        <v/>
      </c>
      <c r="Q503" s="128" t="str">
        <f t="shared" si="45"/>
        <v/>
      </c>
      <c r="R503" s="128" t="str">
        <f t="shared" si="46"/>
        <v/>
      </c>
      <c r="S503" s="118"/>
      <c r="T503" s="104"/>
      <c r="U503" s="104"/>
      <c r="V503" s="104"/>
      <c r="W503" s="104"/>
      <c r="Y503"/>
    </row>
    <row r="504" spans="1:30" x14ac:dyDescent="0.3">
      <c r="A504" s="4">
        <v>1421</v>
      </c>
      <c r="B504" s="8">
        <v>-30.795481755000509</v>
      </c>
      <c r="C504" s="8">
        <v>-29.730674858602654</v>
      </c>
      <c r="D504" s="8">
        <f t="shared" si="47"/>
        <v>-30.421467828106813</v>
      </c>
      <c r="E504" s="8"/>
      <c r="F504" s="8">
        <v>-30.522320591678422</v>
      </c>
      <c r="G504" s="8">
        <v>-30.320615064535204</v>
      </c>
      <c r="H504" s="6"/>
      <c r="I504" s="4"/>
      <c r="J504" s="33" t="s">
        <v>18</v>
      </c>
      <c r="K504" s="32">
        <f t="shared" si="43"/>
        <v>-30.358112019584723</v>
      </c>
      <c r="L504" s="32">
        <v>30.421467828106813</v>
      </c>
      <c r="M504" s="32">
        <v>-0.6907929695041588</v>
      </c>
      <c r="N504" s="32">
        <v>1.0648068963978545</v>
      </c>
      <c r="O504" s="32">
        <v>-0.15838952130523154</v>
      </c>
      <c r="P504" s="128" t="str">
        <f t="shared" si="44"/>
        <v/>
      </c>
      <c r="Q504" s="128" t="str">
        <f t="shared" si="45"/>
        <v/>
      </c>
      <c r="R504" s="128" t="str">
        <f t="shared" si="46"/>
        <v/>
      </c>
      <c r="S504" s="115"/>
      <c r="T504" s="99">
        <v>0</v>
      </c>
      <c r="U504" s="99">
        <v>0</v>
      </c>
      <c r="V504" s="99">
        <v>0</v>
      </c>
      <c r="W504" s="99">
        <v>0</v>
      </c>
      <c r="X504" t="s">
        <v>16</v>
      </c>
      <c r="AC504"/>
      <c r="AD504"/>
    </row>
    <row r="505" spans="1:30" x14ac:dyDescent="0.3">
      <c r="A505" s="4">
        <v>1422</v>
      </c>
      <c r="B505" s="8">
        <v>-26.995560892567617</v>
      </c>
      <c r="C505" s="8">
        <v>-26.578992385064566</v>
      </c>
      <c r="D505" s="8">
        <v>-27.151173731755666</v>
      </c>
      <c r="E505" s="8">
        <v>-25.064059254830521</v>
      </c>
      <c r="F505" s="6"/>
      <c r="G505" s="6"/>
      <c r="H505" s="6"/>
      <c r="I505" s="4"/>
      <c r="J505" s="4" t="s">
        <v>11</v>
      </c>
      <c r="K505" s="32">
        <f t="shared" si="43"/>
        <v>-26.447446566054595</v>
      </c>
      <c r="L505" s="32">
        <v>2.0871144769251444</v>
      </c>
      <c r="M505" s="32">
        <v>-0.57218134669109944</v>
      </c>
      <c r="N505" s="32">
        <v>0.41656850750305097</v>
      </c>
      <c r="O505" s="32">
        <v>0.67966014552299825</v>
      </c>
      <c r="P505" s="128">
        <f t="shared" si="44"/>
        <v>-0.15561283918804847</v>
      </c>
      <c r="Q505" s="128">
        <f t="shared" si="45"/>
        <v>-0.57218134669109944</v>
      </c>
      <c r="R505" s="128">
        <f t="shared" si="46"/>
        <v>-0.36389709293957395</v>
      </c>
      <c r="S505" s="115">
        <v>1</v>
      </c>
      <c r="T505" s="99">
        <v>0</v>
      </c>
      <c r="U505" s="99">
        <v>0</v>
      </c>
      <c r="V505" s="99">
        <v>0</v>
      </c>
      <c r="W505" s="99">
        <v>0</v>
      </c>
      <c r="X505" t="s">
        <v>16</v>
      </c>
      <c r="AC505"/>
      <c r="AD505"/>
    </row>
    <row r="506" spans="1:30" x14ac:dyDescent="0.3">
      <c r="A506" s="4">
        <v>1423</v>
      </c>
      <c r="B506" s="8">
        <v>-31.739175434897703</v>
      </c>
      <c r="C506" s="8">
        <v>-31.748558458954768</v>
      </c>
      <c r="D506" s="8">
        <v>-30.926492829204697</v>
      </c>
      <c r="E506" s="8">
        <v>-30.480449102533115</v>
      </c>
      <c r="F506" s="6"/>
      <c r="G506" s="6"/>
      <c r="H506" s="6"/>
      <c r="I506" s="4"/>
      <c r="J506" s="4" t="s">
        <v>18</v>
      </c>
      <c r="K506" s="32">
        <f t="shared" si="43"/>
        <v>-31.223668956397571</v>
      </c>
      <c r="L506" s="32">
        <v>0.44604372667158287</v>
      </c>
      <c r="M506" s="32">
        <v>0.82206562975007103</v>
      </c>
      <c r="N506" s="32">
        <v>-9.38302405706537E-3</v>
      </c>
      <c r="O506" s="32">
        <v>1.0403959810573298</v>
      </c>
      <c r="P506" s="128">
        <f t="shared" si="44"/>
        <v>0.82206562975007103</v>
      </c>
      <c r="Q506" s="128">
        <f t="shared" si="45"/>
        <v>0.81268260569300566</v>
      </c>
      <c r="R506" s="128">
        <f t="shared" si="46"/>
        <v>0.81737411772153834</v>
      </c>
      <c r="S506" s="115">
        <v>0</v>
      </c>
      <c r="T506" s="99">
        <v>1</v>
      </c>
      <c r="U506" s="99">
        <v>1</v>
      </c>
      <c r="V506" s="99">
        <v>1</v>
      </c>
      <c r="W506" s="99">
        <v>0</v>
      </c>
      <c r="X506" t="s">
        <v>16</v>
      </c>
      <c r="AC506"/>
      <c r="AD506"/>
    </row>
    <row r="507" spans="1:30" x14ac:dyDescent="0.3">
      <c r="A507" s="4">
        <v>1425</v>
      </c>
      <c r="B507" s="8">
        <v>-31.215438326212013</v>
      </c>
      <c r="C507" s="8">
        <v>-30.320928448013102</v>
      </c>
      <c r="D507" s="8">
        <v>-29.860515427265629</v>
      </c>
      <c r="E507" s="8">
        <v>-29.494296362647422</v>
      </c>
      <c r="F507" s="6"/>
      <c r="G507" s="6"/>
      <c r="H507" s="6"/>
      <c r="I507" s="4"/>
      <c r="J507" s="4" t="s">
        <v>18</v>
      </c>
      <c r="K507" s="32">
        <f t="shared" si="43"/>
        <v>-30.22279464103454</v>
      </c>
      <c r="L507" s="32">
        <v>0.36621906461820686</v>
      </c>
      <c r="M507" s="32">
        <v>0.46041302074747392</v>
      </c>
      <c r="N507" s="32">
        <v>0.89450987819891026</v>
      </c>
      <c r="O507" s="32">
        <v>1.0907774921560325</v>
      </c>
      <c r="P507" s="128">
        <f t="shared" si="44"/>
        <v>1.3549228989463842</v>
      </c>
      <c r="Q507" s="128">
        <f t="shared" si="45"/>
        <v>0.46041302074747392</v>
      </c>
      <c r="R507" s="128">
        <f t="shared" si="46"/>
        <v>0.90766795984692905</v>
      </c>
      <c r="S507" s="115">
        <v>0</v>
      </c>
      <c r="T507" s="99">
        <v>0</v>
      </c>
      <c r="U507" s="99">
        <v>0</v>
      </c>
      <c r="V507" s="99">
        <v>0</v>
      </c>
      <c r="W507" s="99">
        <v>0</v>
      </c>
      <c r="X507" t="s">
        <v>16</v>
      </c>
      <c r="AC507"/>
      <c r="AD507"/>
    </row>
    <row r="508" spans="1:30" x14ac:dyDescent="0.3">
      <c r="A508" s="4">
        <v>1428</v>
      </c>
      <c r="B508" s="8">
        <v>-29.12502444163907</v>
      </c>
      <c r="C508" s="8">
        <v>-28.328324964292271</v>
      </c>
      <c r="D508" s="8">
        <v>-27.943312805651153</v>
      </c>
      <c r="E508" s="8">
        <v>-27.60345317775506</v>
      </c>
      <c r="F508" s="6"/>
      <c r="G508" s="6"/>
      <c r="H508" s="6"/>
      <c r="I508" s="4"/>
      <c r="J508" s="4" t="s">
        <v>11</v>
      </c>
      <c r="K508" s="32">
        <f t="shared" si="43"/>
        <v>-28.250028847334388</v>
      </c>
      <c r="L508" s="32">
        <v>0.33985962789609303</v>
      </c>
      <c r="M508" s="32">
        <v>0.38501215864111771</v>
      </c>
      <c r="N508" s="32">
        <v>0.7966994773467988</v>
      </c>
      <c r="O508" s="32">
        <v>0.95329171126256185</v>
      </c>
      <c r="P508" s="128">
        <f t="shared" si="44"/>
        <v>1.1817116359879165</v>
      </c>
      <c r="Q508" s="128">
        <f t="shared" si="45"/>
        <v>0.38501215864111771</v>
      </c>
      <c r="R508" s="128">
        <f t="shared" si="46"/>
        <v>0.78336189731451711</v>
      </c>
      <c r="S508" s="115">
        <v>0</v>
      </c>
      <c r="T508" s="99">
        <v>0</v>
      </c>
      <c r="U508" s="99">
        <v>0</v>
      </c>
      <c r="V508" s="99">
        <v>0</v>
      </c>
      <c r="W508" s="99">
        <v>0</v>
      </c>
      <c r="X508" t="s">
        <v>16</v>
      </c>
      <c r="AC508"/>
      <c r="AD508"/>
    </row>
    <row r="509" spans="1:30" x14ac:dyDescent="0.3">
      <c r="A509" s="4">
        <v>1429</v>
      </c>
      <c r="B509" s="8">
        <v>-27.729425521485979</v>
      </c>
      <c r="C509" s="8">
        <v>-25.836512337353629</v>
      </c>
      <c r="D509" s="8">
        <v>-27.067478066517069</v>
      </c>
      <c r="E509" s="8">
        <v>-25.461111676621826</v>
      </c>
      <c r="F509" s="6"/>
      <c r="G509" s="6"/>
      <c r="H509" s="6"/>
      <c r="I509" s="4"/>
      <c r="J509" s="4" t="s">
        <v>11</v>
      </c>
      <c r="K509" s="32">
        <f t="shared" si="43"/>
        <v>-26.523631900494625</v>
      </c>
      <c r="L509" s="32">
        <v>1.6063663898952427</v>
      </c>
      <c r="M509" s="32">
        <v>-1.2309657291634402</v>
      </c>
      <c r="N509" s="32">
        <v>1.8929131841323503</v>
      </c>
      <c r="O509" s="32">
        <v>0.51867405785035459</v>
      </c>
      <c r="P509" s="128">
        <f t="shared" si="44"/>
        <v>0.66194745496891017</v>
      </c>
      <c r="Q509" s="128">
        <f t="shared" si="45"/>
        <v>-1.2309657291634402</v>
      </c>
      <c r="R509" s="128">
        <f t="shared" si="46"/>
        <v>-0.28450913709726677</v>
      </c>
      <c r="S509" s="115">
        <v>1</v>
      </c>
      <c r="T509" s="99">
        <v>0</v>
      </c>
      <c r="U509" s="99">
        <v>0</v>
      </c>
      <c r="V509" s="99">
        <v>0</v>
      </c>
      <c r="W509" s="99">
        <v>0</v>
      </c>
      <c r="X509" t="s">
        <v>16</v>
      </c>
      <c r="AC509"/>
      <c r="AD509"/>
    </row>
    <row r="510" spans="1:30" x14ac:dyDescent="0.3">
      <c r="A510" s="4">
        <v>1430</v>
      </c>
      <c r="B510" s="8">
        <v>-31.05580959139251</v>
      </c>
      <c r="C510" s="8">
        <v>-30.686399076492297</v>
      </c>
      <c r="D510" s="8">
        <v>-30.37519205718182</v>
      </c>
      <c r="E510" s="8">
        <v>-30.668377999706443</v>
      </c>
      <c r="F510" s="6"/>
      <c r="G510" s="6"/>
      <c r="H510" s="6"/>
      <c r="I510" s="4"/>
      <c r="J510" s="4" t="s">
        <v>18</v>
      </c>
      <c r="K510" s="32">
        <f t="shared" si="43"/>
        <v>-30.69644468119327</v>
      </c>
      <c r="L510" s="32">
        <v>-0.29318594252462304</v>
      </c>
      <c r="M510" s="32">
        <v>0.31120701931047634</v>
      </c>
      <c r="N510" s="32">
        <v>0.36941051490021337</v>
      </c>
      <c r="O510" s="32">
        <v>0.34931930549827328</v>
      </c>
      <c r="P510" s="128">
        <f t="shared" si="44"/>
        <v>0.38743159168606667</v>
      </c>
      <c r="Q510" s="128">
        <f t="shared" si="45"/>
        <v>1.8021076785853296E-2</v>
      </c>
      <c r="R510" s="128">
        <f t="shared" si="46"/>
        <v>0.20272633423596176</v>
      </c>
      <c r="S510" s="115">
        <v>0</v>
      </c>
      <c r="T510" s="99">
        <v>0</v>
      </c>
      <c r="U510" s="99">
        <v>0</v>
      </c>
      <c r="V510" s="99">
        <v>0</v>
      </c>
      <c r="W510" s="99">
        <v>0</v>
      </c>
      <c r="X510" t="s">
        <v>16</v>
      </c>
      <c r="AC510"/>
      <c r="AD510"/>
    </row>
    <row r="511" spans="1:30" x14ac:dyDescent="0.3">
      <c r="A511" s="4">
        <v>1431</v>
      </c>
      <c r="B511" s="8">
        <v>-29.174491737558739</v>
      </c>
      <c r="C511" s="8">
        <v>-29.60265460616931</v>
      </c>
      <c r="D511" s="8">
        <v>-29.840763982630484</v>
      </c>
      <c r="E511" s="8">
        <v>-29.521898690171479</v>
      </c>
      <c r="F511" s="6"/>
      <c r="G511" s="6"/>
      <c r="H511" s="6"/>
      <c r="I511" s="4"/>
      <c r="J511" s="4" t="s">
        <v>18</v>
      </c>
      <c r="K511" s="32">
        <f t="shared" si="43"/>
        <v>-29.534952254132502</v>
      </c>
      <c r="L511" s="32">
        <v>0.31886529245900519</v>
      </c>
      <c r="M511" s="32">
        <v>-0.2381093764611748</v>
      </c>
      <c r="N511" s="32">
        <v>-0.42816286861057051</v>
      </c>
      <c r="O511" s="32">
        <v>-0.29275816453695569</v>
      </c>
      <c r="P511" s="128">
        <f t="shared" si="44"/>
        <v>-0.2381093764611748</v>
      </c>
      <c r="Q511" s="128">
        <f t="shared" si="45"/>
        <v>-0.66627224507174532</v>
      </c>
      <c r="R511" s="128">
        <f t="shared" si="46"/>
        <v>-0.45219081076646006</v>
      </c>
      <c r="S511" s="115">
        <v>0</v>
      </c>
      <c r="T511" s="99">
        <v>1</v>
      </c>
      <c r="U511" s="99">
        <v>1</v>
      </c>
      <c r="V511" s="99">
        <v>1</v>
      </c>
      <c r="W511" s="99">
        <v>0</v>
      </c>
      <c r="X511" t="s">
        <v>16</v>
      </c>
      <c r="AC511"/>
      <c r="AD511"/>
    </row>
    <row r="512" spans="1:30" x14ac:dyDescent="0.3">
      <c r="A512" s="4">
        <v>1432</v>
      </c>
      <c r="B512" s="8">
        <v>-28.644659143267212</v>
      </c>
      <c r="C512" s="8">
        <v>-26.973883694518754</v>
      </c>
      <c r="D512" s="8">
        <v>-27.452460632764485</v>
      </c>
      <c r="E512" s="8">
        <v>-26.064340830991849</v>
      </c>
      <c r="F512" s="6"/>
      <c r="G512" s="6"/>
      <c r="H512" s="6"/>
      <c r="I512" s="4"/>
      <c r="J512" s="4" t="s">
        <v>11</v>
      </c>
      <c r="K512" s="32">
        <f t="shared" si="43"/>
        <v>-27.283836075385576</v>
      </c>
      <c r="L512" s="32">
        <v>1.3881198017726355</v>
      </c>
      <c r="M512" s="32">
        <v>-0.47857693824573033</v>
      </c>
      <c r="N512" s="32">
        <v>1.6707754487484578</v>
      </c>
      <c r="O512" s="32">
        <v>1.0508706870148146</v>
      </c>
      <c r="P512" s="128">
        <f t="shared" si="44"/>
        <v>1.1921985105027275</v>
      </c>
      <c r="Q512" s="128">
        <f t="shared" si="45"/>
        <v>-0.47857693824573033</v>
      </c>
      <c r="R512" s="128">
        <f t="shared" si="46"/>
        <v>0.35681078612849859</v>
      </c>
      <c r="S512" s="115">
        <v>1</v>
      </c>
      <c r="T512" s="99">
        <v>0</v>
      </c>
      <c r="U512" s="99">
        <v>0</v>
      </c>
      <c r="V512" s="99">
        <v>0</v>
      </c>
      <c r="W512" s="99">
        <v>0</v>
      </c>
      <c r="X512" t="s">
        <v>16</v>
      </c>
      <c r="AC512"/>
      <c r="AD512"/>
    </row>
    <row r="513" spans="1:30" x14ac:dyDescent="0.3">
      <c r="A513" s="4">
        <v>1433</v>
      </c>
      <c r="B513" s="8">
        <v>-29.951536403732057</v>
      </c>
      <c r="C513" s="8">
        <v>-29.134433180798695</v>
      </c>
      <c r="D513" s="8">
        <v>-29.384405997487317</v>
      </c>
      <c r="E513" s="8">
        <v>-30.060550089106719</v>
      </c>
      <c r="F513" s="6"/>
      <c r="G513" s="6"/>
      <c r="H513" s="6"/>
      <c r="I513" s="4"/>
      <c r="J513" s="4" t="s">
        <v>18</v>
      </c>
      <c r="K513" s="32">
        <f t="shared" si="43"/>
        <v>-29.632731417781194</v>
      </c>
      <c r="L513" s="32">
        <v>-0.67614409161940259</v>
      </c>
      <c r="M513" s="32">
        <v>-0.24997281668862215</v>
      </c>
      <c r="N513" s="32">
        <v>0.81710322293336191</v>
      </c>
      <c r="O513" s="32">
        <v>-0.17949325103164071</v>
      </c>
      <c r="P513" s="128">
        <f t="shared" si="44"/>
        <v>-0.10901368537466283</v>
      </c>
      <c r="Q513" s="128">
        <f t="shared" si="45"/>
        <v>-0.92611690830802473</v>
      </c>
      <c r="R513" s="128">
        <f t="shared" si="46"/>
        <v>-0.51756529684134378</v>
      </c>
      <c r="S513" s="115">
        <v>0</v>
      </c>
      <c r="T513" s="99">
        <v>0</v>
      </c>
      <c r="U513" s="99">
        <v>0</v>
      </c>
      <c r="V513" s="99">
        <v>0</v>
      </c>
      <c r="W513" s="99">
        <v>0</v>
      </c>
      <c r="X513" t="s">
        <v>16</v>
      </c>
      <c r="AC513"/>
      <c r="AD513"/>
    </row>
    <row r="514" spans="1:30" x14ac:dyDescent="0.3">
      <c r="A514" s="4">
        <v>1434</v>
      </c>
      <c r="B514" s="8">
        <v>-30.162219326193792</v>
      </c>
      <c r="C514" s="8">
        <v>-30.48671388194072</v>
      </c>
      <c r="D514" s="8">
        <v>-30.155295066333537</v>
      </c>
      <c r="E514" s="8">
        <v>-29.456593725212361</v>
      </c>
      <c r="F514" s="6"/>
      <c r="G514" s="6"/>
      <c r="H514" s="6"/>
      <c r="I514" s="4"/>
      <c r="J514" s="4" t="s">
        <v>18</v>
      </c>
      <c r="K514" s="32">
        <f t="shared" ref="K514:K577" si="48">AVERAGE(B514:G514)</f>
        <v>-30.065205499920101</v>
      </c>
      <c r="L514" s="32">
        <v>0.69870134112117555</v>
      </c>
      <c r="M514" s="32">
        <v>0.33141881560718289</v>
      </c>
      <c r="N514" s="32">
        <v>-0.3244945557469272</v>
      </c>
      <c r="O514" s="32">
        <v>0.51852220829430706</v>
      </c>
      <c r="P514" s="128">
        <f t="shared" si="44"/>
        <v>0.33141881560718289</v>
      </c>
      <c r="Q514" s="128">
        <f t="shared" si="45"/>
        <v>6.9242598602556882E-3</v>
      </c>
      <c r="R514" s="128">
        <f t="shared" si="46"/>
        <v>0.16917153773371751</v>
      </c>
      <c r="S514" s="115">
        <v>0</v>
      </c>
      <c r="T514" s="99">
        <v>1</v>
      </c>
      <c r="U514" s="99">
        <v>1</v>
      </c>
      <c r="V514" s="99">
        <v>1</v>
      </c>
      <c r="W514" s="99">
        <v>0</v>
      </c>
      <c r="X514" t="s">
        <v>16</v>
      </c>
      <c r="AC514"/>
      <c r="AD514"/>
    </row>
    <row r="515" spans="1:30" x14ac:dyDescent="0.3">
      <c r="A515" s="4">
        <v>1437</v>
      </c>
      <c r="B515" s="8">
        <v>-30.754944674088101</v>
      </c>
      <c r="C515" s="8">
        <v>-29.651819279472107</v>
      </c>
      <c r="D515" s="8">
        <v>-30.615351408229035</v>
      </c>
      <c r="E515" s="8">
        <v>-30.616913102287697</v>
      </c>
      <c r="F515" s="6"/>
      <c r="G515" s="6"/>
      <c r="H515" s="6"/>
      <c r="I515" s="4"/>
      <c r="J515" s="4" t="s">
        <v>18</v>
      </c>
      <c r="K515" s="32">
        <f t="shared" si="48"/>
        <v>-30.409757116019236</v>
      </c>
      <c r="L515" s="32">
        <v>-1.5616940586618E-3</v>
      </c>
      <c r="M515" s="32">
        <v>-0.96353212875692762</v>
      </c>
      <c r="N515" s="32">
        <v>1.1031253946159936</v>
      </c>
      <c r="O515" s="32">
        <v>-0.41275027847825996</v>
      </c>
      <c r="P515" s="128">
        <f t="shared" ref="P515:P578" si="49">IF(OR(E515="", D515="", B515="", C515=""), "", MIN(E515,D515)-MIN(B515,C515))</f>
        <v>0.13803157180040415</v>
      </c>
      <c r="Q515" s="128">
        <f t="shared" ref="Q515:Q578" si="50">IF(OR(E515="", D515="", B515="", C515=""), "", MIN(E515,D515)-MAX(B515,C515))</f>
        <v>-0.96509382281558942</v>
      </c>
      <c r="R515" s="128">
        <f t="shared" ref="R515:R578" si="51">IF(OR(E515="", D515="", B515="", C515=""), "", MIN(E515,D515)-AVERAGE(B515,C515))</f>
        <v>-0.41353112550759263</v>
      </c>
      <c r="S515" s="115">
        <v>0</v>
      </c>
      <c r="T515" s="99">
        <v>0</v>
      </c>
      <c r="U515" s="99">
        <v>0</v>
      </c>
      <c r="V515" s="99">
        <v>0</v>
      </c>
      <c r="W515" s="99">
        <v>0</v>
      </c>
      <c r="X515" t="s">
        <v>16</v>
      </c>
      <c r="AC515"/>
      <c r="AD515"/>
    </row>
    <row r="516" spans="1:30" s="47" customFormat="1" x14ac:dyDescent="0.3">
      <c r="A516" s="40">
        <v>1440</v>
      </c>
      <c r="B516" s="45">
        <v>-30.001935527506181</v>
      </c>
      <c r="C516" s="45">
        <v>-29.7004000160914</v>
      </c>
      <c r="D516" s="45">
        <v>-28.001012401683376</v>
      </c>
      <c r="E516" s="45"/>
      <c r="F516" s="43"/>
      <c r="G516" s="43"/>
      <c r="H516" s="43"/>
      <c r="I516" s="40"/>
      <c r="J516" s="4" t="s">
        <v>18</v>
      </c>
      <c r="K516" s="46">
        <f t="shared" si="48"/>
        <v>-29.234449315093656</v>
      </c>
      <c r="L516" s="32">
        <v>28.001012401683376</v>
      </c>
      <c r="M516" s="32">
        <v>1.6993876144080247</v>
      </c>
      <c r="N516" s="32">
        <v>0.30153551141478019</v>
      </c>
      <c r="O516" s="32">
        <v>1.8501553701154165</v>
      </c>
      <c r="P516" s="128" t="str">
        <f t="shared" si="49"/>
        <v/>
      </c>
      <c r="Q516" s="128" t="str">
        <f t="shared" si="50"/>
        <v/>
      </c>
      <c r="R516" s="128" t="str">
        <f t="shared" si="51"/>
        <v/>
      </c>
      <c r="S516" s="118"/>
      <c r="T516" s="104">
        <v>0</v>
      </c>
      <c r="U516" s="104">
        <v>0</v>
      </c>
      <c r="V516" s="104">
        <v>0</v>
      </c>
      <c r="W516" s="104"/>
      <c r="Y516"/>
    </row>
    <row r="517" spans="1:30" x14ac:dyDescent="0.3">
      <c r="A517" s="4">
        <v>1441</v>
      </c>
      <c r="B517" s="8">
        <v>-30.648429502068851</v>
      </c>
      <c r="C517" s="8">
        <v>-30.427103689721328</v>
      </c>
      <c r="D517" s="8">
        <v>-30.326709972898453</v>
      </c>
      <c r="E517" s="8">
        <v>-31.392965253501501</v>
      </c>
      <c r="F517" s="6"/>
      <c r="G517" s="6"/>
      <c r="H517" s="6"/>
      <c r="I517" s="4"/>
      <c r="J517" s="4" t="s">
        <v>18</v>
      </c>
      <c r="K517" s="32">
        <f t="shared" si="48"/>
        <v>-30.698802104547532</v>
      </c>
      <c r="L517" s="32">
        <v>-1.0662552806030483</v>
      </c>
      <c r="M517" s="32">
        <v>0.10039371682287523</v>
      </c>
      <c r="N517" s="32">
        <v>0.2213258123475228</v>
      </c>
      <c r="O517" s="32">
        <v>-0.3220710173048893</v>
      </c>
      <c r="P517" s="128">
        <f t="shared" si="49"/>
        <v>-0.74453575143265027</v>
      </c>
      <c r="Q517" s="128">
        <f t="shared" si="50"/>
        <v>-0.96586156378017307</v>
      </c>
      <c r="R517" s="128">
        <f t="shared" si="51"/>
        <v>-0.85519865760641167</v>
      </c>
      <c r="S517" s="115">
        <v>0</v>
      </c>
      <c r="T517" s="99">
        <v>0</v>
      </c>
      <c r="U517" s="99">
        <v>0</v>
      </c>
      <c r="V517" s="99">
        <v>0</v>
      </c>
      <c r="W517" s="99">
        <v>0</v>
      </c>
      <c r="X517" t="s">
        <v>16</v>
      </c>
      <c r="AC517"/>
      <c r="AD517"/>
    </row>
    <row r="518" spans="1:30" x14ac:dyDescent="0.3">
      <c r="A518" s="4">
        <v>1442</v>
      </c>
      <c r="B518" s="8">
        <v>-29.689337648928984</v>
      </c>
      <c r="C518" s="8">
        <v>-27.894826920190255</v>
      </c>
      <c r="D518" s="8">
        <v>-28.075954818620623</v>
      </c>
      <c r="E518" s="8">
        <v>-26.485290083083477</v>
      </c>
      <c r="F518" s="6"/>
      <c r="G518" s="6"/>
      <c r="H518" s="6"/>
      <c r="I518" s="4"/>
      <c r="J518" s="4" t="s">
        <v>11</v>
      </c>
      <c r="K518" s="32">
        <f t="shared" si="48"/>
        <v>-28.036352367705831</v>
      </c>
      <c r="L518" s="32">
        <v>1.5906647355371462</v>
      </c>
      <c r="M518" s="32">
        <v>-0.18112789843036836</v>
      </c>
      <c r="N518" s="32">
        <v>1.7945107287387287</v>
      </c>
      <c r="O518" s="32">
        <v>1.5114598337075691</v>
      </c>
      <c r="P518" s="128">
        <f t="shared" si="49"/>
        <v>1.6133828303083604</v>
      </c>
      <c r="Q518" s="128">
        <f t="shared" si="50"/>
        <v>-0.18112789843036836</v>
      </c>
      <c r="R518" s="128">
        <f t="shared" si="51"/>
        <v>0.71612746593899601</v>
      </c>
      <c r="S518" s="115">
        <v>1</v>
      </c>
      <c r="T518" s="99">
        <v>0</v>
      </c>
      <c r="U518" s="99">
        <v>0</v>
      </c>
      <c r="V518" s="99">
        <v>0</v>
      </c>
      <c r="W518" s="99">
        <v>0</v>
      </c>
      <c r="X518" t="s">
        <v>16</v>
      </c>
      <c r="AC518"/>
      <c r="AD518"/>
    </row>
    <row r="519" spans="1:30" ht="16.5" customHeight="1" x14ac:dyDescent="0.3">
      <c r="A519" s="4">
        <v>1615</v>
      </c>
      <c r="B519" s="8">
        <v>-30.291186781084537</v>
      </c>
      <c r="C519" s="8">
        <v>-29.693547562534235</v>
      </c>
      <c r="D519" s="8">
        <v>-30.202403000689252</v>
      </c>
      <c r="E519" s="8">
        <v>-30.175294817956591</v>
      </c>
      <c r="F519" s="6"/>
      <c r="G519" s="6"/>
      <c r="H519" s="6"/>
      <c r="I519" s="6"/>
      <c r="J519" s="4" t="s">
        <v>18</v>
      </c>
      <c r="K519" s="32">
        <f t="shared" si="48"/>
        <v>-30.090608040566153</v>
      </c>
      <c r="L519" s="32">
        <v>2.7108182732661135E-2</v>
      </c>
      <c r="M519" s="32">
        <v>-0.50885543815501677</v>
      </c>
      <c r="N519" s="32">
        <v>0.59763921855030233</v>
      </c>
      <c r="O519" s="32">
        <v>-0.19648173751353681</v>
      </c>
      <c r="P519" s="128">
        <f t="shared" si="49"/>
        <v>8.8783780395285561E-2</v>
      </c>
      <c r="Q519" s="128">
        <f t="shared" si="50"/>
        <v>-0.50885543815501677</v>
      </c>
      <c r="R519" s="128">
        <f t="shared" si="51"/>
        <v>-0.21003582887986738</v>
      </c>
      <c r="S519" s="115">
        <v>0</v>
      </c>
      <c r="T519" s="99">
        <v>0</v>
      </c>
      <c r="U519" s="99">
        <v>0</v>
      </c>
      <c r="V519" s="99">
        <v>0</v>
      </c>
      <c r="W519" s="99">
        <v>0</v>
      </c>
      <c r="X519" t="s">
        <v>16</v>
      </c>
      <c r="AC519"/>
      <c r="AD519"/>
    </row>
    <row r="520" spans="1:30" ht="16.5" customHeight="1" x14ac:dyDescent="0.3">
      <c r="A520" s="4">
        <v>1616</v>
      </c>
      <c r="B520" s="8">
        <v>-29.646721470954233</v>
      </c>
      <c r="C520" s="8">
        <v>-29.542651087181</v>
      </c>
      <c r="D520" s="8">
        <v>-29.437390705684184</v>
      </c>
      <c r="E520" s="8">
        <v>-29.501310929668751</v>
      </c>
      <c r="F520" s="6"/>
      <c r="G520" s="6"/>
      <c r="H520" s="6"/>
      <c r="I520" s="6"/>
      <c r="J520" s="4" t="s">
        <v>18</v>
      </c>
      <c r="K520" s="32">
        <f t="shared" si="48"/>
        <v>-29.53201854837204</v>
      </c>
      <c r="L520" s="32">
        <v>-6.3920223984567315E-2</v>
      </c>
      <c r="M520" s="32">
        <v>0.10526038149681582</v>
      </c>
      <c r="N520" s="32">
        <v>0.10407038377323374</v>
      </c>
      <c r="O520" s="32">
        <v>0.12533546139114904</v>
      </c>
      <c r="P520" s="128">
        <f t="shared" si="49"/>
        <v>0.14541054128548225</v>
      </c>
      <c r="Q520" s="128">
        <f t="shared" si="50"/>
        <v>4.134015751224851E-2</v>
      </c>
      <c r="R520" s="128">
        <f t="shared" si="51"/>
        <v>9.3375349398865382E-2</v>
      </c>
      <c r="S520" s="115">
        <v>0</v>
      </c>
      <c r="T520" s="99">
        <v>0</v>
      </c>
      <c r="U520" s="99">
        <v>0</v>
      </c>
      <c r="V520" s="99">
        <v>0</v>
      </c>
      <c r="W520" s="99">
        <v>0</v>
      </c>
      <c r="X520" t="s">
        <v>16</v>
      </c>
      <c r="AC520"/>
      <c r="AD520"/>
    </row>
    <row r="521" spans="1:30" ht="16.5" customHeight="1" x14ac:dyDescent="0.3">
      <c r="A521" s="4">
        <v>1617</v>
      </c>
      <c r="B521" s="8">
        <v>-29.478332014507629</v>
      </c>
      <c r="C521" s="8">
        <v>-29.328503319257457</v>
      </c>
      <c r="D521" s="8">
        <v>-29.264875686402224</v>
      </c>
      <c r="E521" s="8">
        <v>-28.354301622801167</v>
      </c>
      <c r="F521" s="6"/>
      <c r="G521" s="6"/>
      <c r="H521" s="6"/>
      <c r="I521" s="6"/>
      <c r="J521" s="4" t="s">
        <v>18</v>
      </c>
      <c r="K521" s="32">
        <f t="shared" si="48"/>
        <v>-29.106503160742122</v>
      </c>
      <c r="L521" s="32">
        <v>0.9105740636010573</v>
      </c>
      <c r="M521" s="32">
        <v>6.3627632855233429E-2</v>
      </c>
      <c r="N521" s="32">
        <v>0.14982869525017151</v>
      </c>
      <c r="O521" s="32">
        <v>0.59382901228084606</v>
      </c>
      <c r="P521" s="128">
        <f t="shared" si="49"/>
        <v>0.21345632810540494</v>
      </c>
      <c r="Q521" s="128">
        <f t="shared" si="50"/>
        <v>6.3627632855233429E-2</v>
      </c>
      <c r="R521" s="128">
        <f t="shared" si="51"/>
        <v>0.13854198048031918</v>
      </c>
      <c r="S521" s="115">
        <v>0</v>
      </c>
      <c r="T521" s="99">
        <v>0</v>
      </c>
      <c r="U521" s="99">
        <v>0</v>
      </c>
      <c r="V521" s="99">
        <v>0</v>
      </c>
      <c r="W521" s="99">
        <v>0</v>
      </c>
      <c r="X521" t="s">
        <v>16</v>
      </c>
      <c r="AC521"/>
      <c r="AD521"/>
    </row>
    <row r="522" spans="1:30" ht="16.5" customHeight="1" x14ac:dyDescent="0.3">
      <c r="A522" s="4">
        <v>1618</v>
      </c>
      <c r="B522" s="8">
        <v>-29.12376033724356</v>
      </c>
      <c r="C522" s="8">
        <v>-29.087943276354629</v>
      </c>
      <c r="D522" s="8">
        <v>-28.971457020633551</v>
      </c>
      <c r="E522" s="8">
        <v>-28.024569674603008</v>
      </c>
      <c r="F522" s="6"/>
      <c r="G522" s="6"/>
      <c r="H522" s="6"/>
      <c r="I522" s="6"/>
      <c r="J522" s="4" t="s">
        <v>18</v>
      </c>
      <c r="K522" s="32">
        <f t="shared" si="48"/>
        <v>-28.801932577208689</v>
      </c>
      <c r="L522" s="32">
        <v>0.94688734603054314</v>
      </c>
      <c r="M522" s="32">
        <v>0.11648625572107818</v>
      </c>
      <c r="N522" s="32">
        <v>3.5817060888930996E-2</v>
      </c>
      <c r="O522" s="32">
        <v>0.60783845918081525</v>
      </c>
      <c r="P522" s="128">
        <f t="shared" si="49"/>
        <v>0.15230331661000918</v>
      </c>
      <c r="Q522" s="128">
        <f t="shared" si="50"/>
        <v>0.11648625572107818</v>
      </c>
      <c r="R522" s="128">
        <f t="shared" si="51"/>
        <v>0.13439478616554368</v>
      </c>
      <c r="S522" s="115">
        <v>0</v>
      </c>
      <c r="T522" s="99">
        <v>0</v>
      </c>
      <c r="U522" s="99">
        <v>0</v>
      </c>
      <c r="V522" s="99">
        <v>0</v>
      </c>
      <c r="W522" s="99">
        <v>0</v>
      </c>
      <c r="X522" t="s">
        <v>16</v>
      </c>
      <c r="AC522"/>
      <c r="AD522"/>
    </row>
    <row r="523" spans="1:30" ht="16.5" customHeight="1" x14ac:dyDescent="0.3">
      <c r="A523" s="4">
        <v>1619</v>
      </c>
      <c r="B523" s="8">
        <v>-29.272380756216975</v>
      </c>
      <c r="C523" s="8">
        <v>-29.259258508529914</v>
      </c>
      <c r="D523" s="8">
        <v>-28.69666727154781</v>
      </c>
      <c r="E523" s="8">
        <v>-27.076244220542076</v>
      </c>
      <c r="F523" s="6"/>
      <c r="G523" s="6"/>
      <c r="H523" s="6"/>
      <c r="I523" s="6"/>
      <c r="J523" s="4" t="s">
        <v>11</v>
      </c>
      <c r="K523" s="32">
        <f t="shared" si="48"/>
        <v>-28.576137689209194</v>
      </c>
      <c r="L523" s="32">
        <v>1.6204230510057336</v>
      </c>
      <c r="M523" s="32">
        <v>0.56259123698210445</v>
      </c>
      <c r="N523" s="32">
        <v>1.3122247687061162E-2</v>
      </c>
      <c r="O523" s="32">
        <v>1.3793638863284983</v>
      </c>
      <c r="P523" s="128">
        <f t="shared" si="49"/>
        <v>0.57571348466916561</v>
      </c>
      <c r="Q523" s="128">
        <f t="shared" si="50"/>
        <v>0.56259123698210445</v>
      </c>
      <c r="R523" s="128">
        <f t="shared" si="51"/>
        <v>0.56915236082563325</v>
      </c>
      <c r="S523" s="115">
        <v>0</v>
      </c>
      <c r="T523" s="99">
        <v>0</v>
      </c>
      <c r="U523" s="99">
        <v>0</v>
      </c>
      <c r="V523" s="99">
        <v>0</v>
      </c>
      <c r="W523" s="99">
        <v>0</v>
      </c>
      <c r="X523" t="s">
        <v>16</v>
      </c>
      <c r="AC523"/>
      <c r="AD523"/>
    </row>
    <row r="524" spans="1:30" ht="16.5" customHeight="1" x14ac:dyDescent="0.3">
      <c r="A524" s="4">
        <v>1620</v>
      </c>
      <c r="B524" s="8">
        <v>-29.256965650750431</v>
      </c>
      <c r="C524" s="8">
        <v>-28.893552562763816</v>
      </c>
      <c r="D524" s="8">
        <v>-28.194663842003688</v>
      </c>
      <c r="E524" s="8">
        <v>-27.016641373241093</v>
      </c>
      <c r="F524" s="6"/>
      <c r="G524" s="6"/>
      <c r="H524" s="6"/>
      <c r="I524" s="6"/>
      <c r="J524" s="4" t="s">
        <v>11</v>
      </c>
      <c r="K524" s="32">
        <f t="shared" si="48"/>
        <v>-28.34045585718976</v>
      </c>
      <c r="L524" s="32">
        <v>1.1780224687625953</v>
      </c>
      <c r="M524" s="32">
        <v>0.69888872076012731</v>
      </c>
      <c r="N524" s="32">
        <v>0.36341308798661487</v>
      </c>
      <c r="O524" s="32">
        <v>1.4696064991347342</v>
      </c>
      <c r="P524" s="128">
        <f t="shared" si="49"/>
        <v>1.0623018087467422</v>
      </c>
      <c r="Q524" s="128">
        <f t="shared" si="50"/>
        <v>0.69888872076012731</v>
      </c>
      <c r="R524" s="128">
        <f t="shared" si="51"/>
        <v>0.88059526475343475</v>
      </c>
      <c r="S524" s="115">
        <v>0</v>
      </c>
      <c r="T524" s="99">
        <v>0</v>
      </c>
      <c r="U524" s="99">
        <v>0</v>
      </c>
      <c r="V524" s="99">
        <v>0</v>
      </c>
      <c r="W524" s="99">
        <v>0</v>
      </c>
      <c r="X524" t="s">
        <v>16</v>
      </c>
      <c r="AC524"/>
      <c r="AD524"/>
    </row>
    <row r="525" spans="1:30" ht="16.5" customHeight="1" x14ac:dyDescent="0.3">
      <c r="A525" s="4">
        <v>1621</v>
      </c>
      <c r="B525" s="8">
        <v>-29.215162558592276</v>
      </c>
      <c r="C525" s="8">
        <v>-27.934254478604167</v>
      </c>
      <c r="D525" s="8">
        <v>-28.240115083653883</v>
      </c>
      <c r="E525" s="8">
        <v>-26.938424528792076</v>
      </c>
      <c r="F525" s="6"/>
      <c r="G525" s="6"/>
      <c r="H525" s="6"/>
      <c r="I525" s="6"/>
      <c r="J525" s="4" t="s">
        <v>11</v>
      </c>
      <c r="K525" s="32">
        <f t="shared" si="48"/>
        <v>-28.081989162410601</v>
      </c>
      <c r="L525" s="32">
        <v>1.301690554861807</v>
      </c>
      <c r="M525" s="32">
        <v>-0.30586060504971613</v>
      </c>
      <c r="N525" s="32">
        <v>1.2809080799881087</v>
      </c>
      <c r="O525" s="32">
        <v>0.98543871237524172</v>
      </c>
      <c r="P525" s="128">
        <f t="shared" si="49"/>
        <v>0.97504747493839261</v>
      </c>
      <c r="Q525" s="128">
        <f t="shared" si="50"/>
        <v>-0.30586060504971613</v>
      </c>
      <c r="R525" s="128">
        <f t="shared" si="51"/>
        <v>0.33459343494433824</v>
      </c>
      <c r="S525" s="115">
        <v>1</v>
      </c>
      <c r="T525" s="99">
        <v>0</v>
      </c>
      <c r="U525" s="99">
        <v>0</v>
      </c>
      <c r="V525" s="99">
        <v>0</v>
      </c>
      <c r="W525" s="99">
        <v>0</v>
      </c>
      <c r="X525" t="s">
        <v>16</v>
      </c>
      <c r="AC525"/>
      <c r="AD525"/>
    </row>
    <row r="526" spans="1:30" s="47" customFormat="1" x14ac:dyDescent="0.3">
      <c r="A526" s="40">
        <v>1761</v>
      </c>
      <c r="B526" s="59"/>
      <c r="C526" s="59"/>
      <c r="D526" s="59" t="str">
        <f t="shared" ref="D526:D528" si="52">IF(AND(ISBLANK(F526),ISBLANK(G526)),"",IF(ISBLANK(F526),G526,IF(ISBLANK(G526),F526,(G526+F526)/2)))</f>
        <v/>
      </c>
      <c r="E526" s="59"/>
      <c r="F526" s="79"/>
      <c r="G526" s="79"/>
      <c r="H526" s="79">
        <v>-30.19</v>
      </c>
      <c r="I526" s="59"/>
      <c r="J526" s="4" t="s">
        <v>18</v>
      </c>
      <c r="K526" s="46" t="e">
        <f t="shared" si="48"/>
        <v>#DIV/0!</v>
      </c>
      <c r="L526" s="32" t="e">
        <v>#VALUE!</v>
      </c>
      <c r="M526" s="32" t="e">
        <v>#VALUE!</v>
      </c>
      <c r="N526" s="32">
        <v>0</v>
      </c>
      <c r="O526" s="32" t="e">
        <v>#DIV/0!</v>
      </c>
      <c r="P526" s="128" t="str">
        <f t="shared" si="49"/>
        <v/>
      </c>
      <c r="Q526" s="128" t="str">
        <f t="shared" si="50"/>
        <v/>
      </c>
      <c r="R526" s="128" t="str">
        <f t="shared" si="51"/>
        <v/>
      </c>
      <c r="S526" s="118"/>
      <c r="T526" s="104"/>
      <c r="U526" s="104"/>
      <c r="V526" s="104"/>
      <c r="W526" s="104"/>
      <c r="Y526"/>
    </row>
    <row r="527" spans="1:30" s="47" customFormat="1" x14ac:dyDescent="0.3">
      <c r="A527" s="40">
        <v>1762</v>
      </c>
      <c r="B527" s="59"/>
      <c r="C527" s="59"/>
      <c r="D527" s="59" t="str">
        <f t="shared" si="52"/>
        <v/>
      </c>
      <c r="E527" s="59"/>
      <c r="F527" s="79"/>
      <c r="G527" s="79"/>
      <c r="H527" s="79">
        <v>-29.23</v>
      </c>
      <c r="I527" s="59"/>
      <c r="J527" s="4" t="s">
        <v>18</v>
      </c>
      <c r="K527" s="46" t="e">
        <f t="shared" si="48"/>
        <v>#DIV/0!</v>
      </c>
      <c r="L527" s="32" t="e">
        <v>#VALUE!</v>
      </c>
      <c r="M527" s="32" t="e">
        <v>#VALUE!</v>
      </c>
      <c r="N527" s="32">
        <v>0</v>
      </c>
      <c r="O527" s="32" t="e">
        <v>#DIV/0!</v>
      </c>
      <c r="P527" s="128" t="str">
        <f t="shared" si="49"/>
        <v/>
      </c>
      <c r="Q527" s="128" t="str">
        <f t="shared" si="50"/>
        <v/>
      </c>
      <c r="R527" s="128" t="str">
        <f t="shared" si="51"/>
        <v/>
      </c>
      <c r="S527" s="118"/>
      <c r="T527" s="104"/>
      <c r="U527" s="104"/>
      <c r="V527" s="104"/>
      <c r="W527" s="104"/>
      <c r="Y527"/>
    </row>
    <row r="528" spans="1:30" s="47" customFormat="1" x14ac:dyDescent="0.3">
      <c r="A528" s="40">
        <v>1763</v>
      </c>
      <c r="B528" s="59"/>
      <c r="C528" s="59"/>
      <c r="D528" s="59" t="str">
        <f t="shared" si="52"/>
        <v/>
      </c>
      <c r="E528" s="59"/>
      <c r="F528" s="79"/>
      <c r="G528" s="79"/>
      <c r="H528" s="79">
        <v>-28.95</v>
      </c>
      <c r="I528" s="59"/>
      <c r="J528" s="4" t="s">
        <v>18</v>
      </c>
      <c r="K528" s="46" t="e">
        <f t="shared" si="48"/>
        <v>#DIV/0!</v>
      </c>
      <c r="L528" s="32" t="e">
        <v>#VALUE!</v>
      </c>
      <c r="M528" s="32" t="e">
        <v>#VALUE!</v>
      </c>
      <c r="N528" s="32">
        <v>0</v>
      </c>
      <c r="O528" s="32" t="e">
        <v>#DIV/0!</v>
      </c>
      <c r="P528" s="128" t="str">
        <f t="shared" si="49"/>
        <v/>
      </c>
      <c r="Q528" s="128" t="str">
        <f t="shared" si="50"/>
        <v/>
      </c>
      <c r="R528" s="128" t="str">
        <f t="shared" si="51"/>
        <v/>
      </c>
      <c r="S528" s="118"/>
      <c r="T528" s="104"/>
      <c r="U528" s="104"/>
      <c r="V528" s="104"/>
      <c r="W528" s="104"/>
      <c r="Y528"/>
    </row>
    <row r="529" spans="1:30" s="47" customFormat="1" x14ac:dyDescent="0.3">
      <c r="A529" s="40">
        <v>1766</v>
      </c>
      <c r="B529" s="79">
        <v>-29.36</v>
      </c>
      <c r="C529" s="79">
        <v>-29.38</v>
      </c>
      <c r="D529" s="79">
        <v>-28.88</v>
      </c>
      <c r="E529" s="79"/>
      <c r="F529" s="79"/>
      <c r="G529" s="79"/>
      <c r="H529" s="79"/>
      <c r="I529" s="59"/>
      <c r="J529" s="4" t="s">
        <v>18</v>
      </c>
      <c r="K529" s="46">
        <f t="shared" si="48"/>
        <v>-29.206666666666663</v>
      </c>
      <c r="L529" s="32">
        <v>28.88</v>
      </c>
      <c r="M529" s="32">
        <v>0.5</v>
      </c>
      <c r="N529" s="32">
        <v>-1.9999999999999574E-2</v>
      </c>
      <c r="O529" s="32">
        <v>0.48999999999999844</v>
      </c>
      <c r="P529" s="128" t="str">
        <f t="shared" si="49"/>
        <v/>
      </c>
      <c r="Q529" s="128" t="str">
        <f t="shared" si="50"/>
        <v/>
      </c>
      <c r="R529" s="128" t="str">
        <f t="shared" si="51"/>
        <v/>
      </c>
      <c r="S529" s="118"/>
      <c r="T529" s="104"/>
      <c r="U529" s="104"/>
      <c r="V529" s="104"/>
      <c r="W529" s="104"/>
      <c r="Y529"/>
    </row>
    <row r="530" spans="1:30" s="47" customFormat="1" x14ac:dyDescent="0.3">
      <c r="A530" s="40">
        <v>1767</v>
      </c>
      <c r="B530" s="79">
        <v>-29.47</v>
      </c>
      <c r="C530" s="79">
        <v>-29.32</v>
      </c>
      <c r="D530" s="79">
        <v>-28.75</v>
      </c>
      <c r="E530" s="79"/>
      <c r="F530" s="79"/>
      <c r="G530" s="79"/>
      <c r="H530" s="79"/>
      <c r="I530" s="59"/>
      <c r="J530" s="4" t="s">
        <v>18</v>
      </c>
      <c r="K530" s="46">
        <f t="shared" si="48"/>
        <v>-29.179999999999996</v>
      </c>
      <c r="L530" s="32">
        <v>28.75</v>
      </c>
      <c r="M530" s="32">
        <v>0.57000000000000028</v>
      </c>
      <c r="N530" s="32">
        <v>0.14999999999999858</v>
      </c>
      <c r="O530" s="32">
        <v>0.64499999999999957</v>
      </c>
      <c r="P530" s="128" t="str">
        <f t="shared" si="49"/>
        <v/>
      </c>
      <c r="Q530" s="128" t="str">
        <f t="shared" si="50"/>
        <v/>
      </c>
      <c r="R530" s="128" t="str">
        <f t="shared" si="51"/>
        <v/>
      </c>
      <c r="S530" s="118"/>
      <c r="T530" s="104"/>
      <c r="U530" s="104"/>
      <c r="V530" s="104"/>
      <c r="W530" s="104"/>
      <c r="Y530"/>
    </row>
    <row r="531" spans="1:30" s="47" customFormat="1" x14ac:dyDescent="0.3">
      <c r="A531" s="40">
        <v>1787</v>
      </c>
      <c r="B531" s="79">
        <v>-29.88</v>
      </c>
      <c r="C531" s="79">
        <v>-29.98</v>
      </c>
      <c r="D531" s="79">
        <v>-30.99</v>
      </c>
      <c r="E531" s="79"/>
      <c r="F531" s="79"/>
      <c r="G531" s="79"/>
      <c r="H531" s="79"/>
      <c r="I531" s="59"/>
      <c r="J531" s="4" t="s">
        <v>18</v>
      </c>
      <c r="K531" s="46">
        <f t="shared" si="48"/>
        <v>-30.283333333333331</v>
      </c>
      <c r="L531" s="32">
        <v>30.99</v>
      </c>
      <c r="M531" s="32">
        <v>-1.009999999999998</v>
      </c>
      <c r="N531" s="32">
        <v>-0.10000000000000142</v>
      </c>
      <c r="O531" s="32">
        <v>-1.0599999999999987</v>
      </c>
      <c r="P531" s="128" t="str">
        <f t="shared" si="49"/>
        <v/>
      </c>
      <c r="Q531" s="128" t="str">
        <f t="shared" si="50"/>
        <v/>
      </c>
      <c r="R531" s="128" t="str">
        <f t="shared" si="51"/>
        <v/>
      </c>
      <c r="S531" s="118"/>
      <c r="T531" s="104"/>
      <c r="U531" s="104"/>
      <c r="V531" s="104"/>
      <c r="W531" s="104"/>
      <c r="Y531"/>
    </row>
    <row r="532" spans="1:30" x14ac:dyDescent="0.3">
      <c r="A532" s="4">
        <v>1788</v>
      </c>
      <c r="B532" s="23">
        <v>-31.45</v>
      </c>
      <c r="C532" s="23">
        <v>-31.21</v>
      </c>
      <c r="D532" s="23">
        <v>-31.2</v>
      </c>
      <c r="E532" s="23">
        <v>-28.2</v>
      </c>
      <c r="F532" s="23"/>
      <c r="G532" s="23"/>
      <c r="H532" s="23"/>
      <c r="I532" s="11"/>
      <c r="J532" s="4" t="s">
        <v>18</v>
      </c>
      <c r="K532" s="32">
        <f t="shared" si="48"/>
        <v>-30.515000000000001</v>
      </c>
      <c r="L532" s="32">
        <v>3</v>
      </c>
      <c r="M532" s="32">
        <v>1.0000000000001563E-2</v>
      </c>
      <c r="N532" s="32">
        <v>0.23999999999999844</v>
      </c>
      <c r="O532" s="32">
        <v>1.629999999999999</v>
      </c>
      <c r="P532" s="128">
        <f t="shared" si="49"/>
        <v>0.25</v>
      </c>
      <c r="Q532" s="128">
        <f t="shared" si="50"/>
        <v>1.0000000000001563E-2</v>
      </c>
      <c r="R532" s="128">
        <f t="shared" si="51"/>
        <v>0.12999999999999901</v>
      </c>
      <c r="S532" s="115">
        <v>0</v>
      </c>
      <c r="T532" s="99">
        <v>0</v>
      </c>
      <c r="U532" s="99">
        <v>0</v>
      </c>
      <c r="V532" s="99">
        <v>0</v>
      </c>
      <c r="W532" s="99">
        <v>0</v>
      </c>
      <c r="X532" t="s">
        <v>16</v>
      </c>
      <c r="AC532"/>
      <c r="AD532"/>
    </row>
    <row r="533" spans="1:30" x14ac:dyDescent="0.3">
      <c r="A533" s="4">
        <v>1789</v>
      </c>
      <c r="B533" s="23">
        <v>-30.16</v>
      </c>
      <c r="C533" s="23">
        <v>-27.83</v>
      </c>
      <c r="D533" s="23">
        <v>-28.45</v>
      </c>
      <c r="E533" s="23">
        <v>-31.56</v>
      </c>
      <c r="F533" s="23"/>
      <c r="G533" s="23"/>
      <c r="H533" s="23"/>
      <c r="I533" s="11"/>
      <c r="J533" s="4" t="s">
        <v>18</v>
      </c>
      <c r="K533" s="32">
        <f t="shared" si="48"/>
        <v>-29.5</v>
      </c>
      <c r="L533" s="32">
        <v>-3.1099999999999994</v>
      </c>
      <c r="M533" s="32">
        <v>-0.62000000000000099</v>
      </c>
      <c r="N533" s="32">
        <v>2.3300000000000018</v>
      </c>
      <c r="O533" s="32">
        <v>-1.0100000000000016</v>
      </c>
      <c r="P533" s="128">
        <f t="shared" si="49"/>
        <v>-1.3999999999999986</v>
      </c>
      <c r="Q533" s="128">
        <f t="shared" si="50"/>
        <v>-3.7300000000000004</v>
      </c>
      <c r="R533" s="128">
        <f t="shared" si="51"/>
        <v>-2.5650000000000013</v>
      </c>
      <c r="S533" s="115">
        <v>0</v>
      </c>
      <c r="T533" s="99">
        <v>0</v>
      </c>
      <c r="U533" s="99">
        <v>0</v>
      </c>
      <c r="V533" s="99">
        <v>0</v>
      </c>
      <c r="W533" s="99">
        <v>0</v>
      </c>
      <c r="X533" t="s">
        <v>16</v>
      </c>
      <c r="AC533"/>
      <c r="AD533"/>
    </row>
    <row r="534" spans="1:30" x14ac:dyDescent="0.3">
      <c r="A534" s="4">
        <v>1790</v>
      </c>
      <c r="B534" s="23">
        <v>-30.46</v>
      </c>
      <c r="C534" s="23">
        <v>-31.15</v>
      </c>
      <c r="D534" s="23">
        <v>-30.58</v>
      </c>
      <c r="E534" s="23">
        <v>-31.64</v>
      </c>
      <c r="F534" s="23"/>
      <c r="G534" s="23"/>
      <c r="H534" s="23"/>
      <c r="I534" s="11"/>
      <c r="J534" s="4" t="s">
        <v>18</v>
      </c>
      <c r="K534" s="32">
        <f t="shared" si="48"/>
        <v>-30.9575</v>
      </c>
      <c r="L534" s="32">
        <v>-1.0600000000000023</v>
      </c>
      <c r="M534" s="32">
        <v>0.57000000000000028</v>
      </c>
      <c r="N534" s="32">
        <v>-0.68999999999999773</v>
      </c>
      <c r="O534" s="32">
        <v>-0.30499999999999972</v>
      </c>
      <c r="P534" s="128">
        <f t="shared" si="49"/>
        <v>-0.49000000000000199</v>
      </c>
      <c r="Q534" s="128">
        <f t="shared" si="50"/>
        <v>-1.1799999999999997</v>
      </c>
      <c r="R534" s="128">
        <f t="shared" si="51"/>
        <v>-0.83500000000000085</v>
      </c>
      <c r="S534" s="115">
        <v>0</v>
      </c>
      <c r="T534" s="99">
        <v>1</v>
      </c>
      <c r="U534" s="99">
        <v>1</v>
      </c>
      <c r="V534" s="99">
        <v>1</v>
      </c>
      <c r="W534" s="99">
        <v>0</v>
      </c>
      <c r="X534" t="s">
        <v>16</v>
      </c>
      <c r="AC534"/>
      <c r="AD534"/>
    </row>
    <row r="535" spans="1:30" x14ac:dyDescent="0.3">
      <c r="A535" s="4">
        <v>1791</v>
      </c>
      <c r="B535" s="23">
        <v>-31.07</v>
      </c>
      <c r="C535" s="23">
        <v>-31.21</v>
      </c>
      <c r="D535" s="23">
        <v>-30.3</v>
      </c>
      <c r="E535" s="23">
        <v>-30.39</v>
      </c>
      <c r="F535" s="23"/>
      <c r="G535" s="23"/>
      <c r="H535" s="23"/>
      <c r="I535" s="11"/>
      <c r="J535" s="4" t="s">
        <v>18</v>
      </c>
      <c r="K535" s="32">
        <f t="shared" si="48"/>
        <v>-30.7425</v>
      </c>
      <c r="L535" s="32">
        <v>-8.9999999999999858E-2</v>
      </c>
      <c r="M535" s="32">
        <v>0.91000000000000014</v>
      </c>
      <c r="N535" s="32">
        <v>-0.14000000000000057</v>
      </c>
      <c r="O535" s="32">
        <v>0.79500000000000171</v>
      </c>
      <c r="P535" s="128">
        <f t="shared" si="49"/>
        <v>0.82000000000000028</v>
      </c>
      <c r="Q535" s="128">
        <f t="shared" si="50"/>
        <v>0.67999999999999972</v>
      </c>
      <c r="R535" s="128">
        <f t="shared" si="51"/>
        <v>0.75</v>
      </c>
      <c r="S535" s="115">
        <v>0</v>
      </c>
      <c r="T535" s="99">
        <v>1</v>
      </c>
      <c r="U535" s="99">
        <v>1</v>
      </c>
      <c r="V535" s="99">
        <v>1</v>
      </c>
      <c r="W535" s="99">
        <v>0</v>
      </c>
      <c r="X535" t="s">
        <v>16</v>
      </c>
      <c r="AC535"/>
      <c r="AD535"/>
    </row>
    <row r="536" spans="1:30" x14ac:dyDescent="0.3">
      <c r="A536" s="4">
        <v>1792</v>
      </c>
      <c r="B536" s="23">
        <v>-29.65</v>
      </c>
      <c r="C536" s="23">
        <v>-27.23</v>
      </c>
      <c r="D536" s="23">
        <v>-28.56</v>
      </c>
      <c r="E536" s="23">
        <v>-26.1</v>
      </c>
      <c r="F536" s="23"/>
      <c r="G536" s="23"/>
      <c r="H536" s="23"/>
      <c r="I536" s="11"/>
      <c r="J536" s="4" t="s">
        <v>11</v>
      </c>
      <c r="K536" s="32">
        <f t="shared" si="48"/>
        <v>-27.884999999999998</v>
      </c>
      <c r="L536" s="32">
        <v>2.4599999999999973</v>
      </c>
      <c r="M536" s="32">
        <v>-1.3299999999999983</v>
      </c>
      <c r="N536" s="32">
        <v>2.4199999999999982</v>
      </c>
      <c r="O536" s="32">
        <v>1.1099999999999994</v>
      </c>
      <c r="P536" s="128">
        <f t="shared" si="49"/>
        <v>1.0899999999999999</v>
      </c>
      <c r="Q536" s="128">
        <f t="shared" si="50"/>
        <v>-1.3299999999999983</v>
      </c>
      <c r="R536" s="128">
        <f t="shared" si="51"/>
        <v>-0.12000000000000099</v>
      </c>
      <c r="S536" s="115">
        <v>1</v>
      </c>
      <c r="T536" s="99">
        <v>0</v>
      </c>
      <c r="U536" s="99">
        <v>0</v>
      </c>
      <c r="V536" s="99">
        <v>0</v>
      </c>
      <c r="W536" s="99">
        <v>0</v>
      </c>
      <c r="X536" t="s">
        <v>16</v>
      </c>
      <c r="AC536"/>
      <c r="AD536"/>
    </row>
    <row r="537" spans="1:30" x14ac:dyDescent="0.3">
      <c r="A537" s="4">
        <v>1793</v>
      </c>
      <c r="B537" s="23">
        <v>-29.38</v>
      </c>
      <c r="C537" s="23">
        <v>-30.46</v>
      </c>
      <c r="D537" s="23">
        <v>-31.47</v>
      </c>
      <c r="E537" s="23">
        <v>-26.05</v>
      </c>
      <c r="F537" s="23"/>
      <c r="G537" s="23"/>
      <c r="H537" s="23"/>
      <c r="I537" s="11"/>
      <c r="J537" s="4" t="s">
        <v>18</v>
      </c>
      <c r="K537" s="32">
        <f t="shared" si="48"/>
        <v>-29.34</v>
      </c>
      <c r="L537" s="32">
        <v>5.4199999999999982</v>
      </c>
      <c r="M537" s="32">
        <v>-1.009999999999998</v>
      </c>
      <c r="N537" s="32">
        <v>-1.0800000000000018</v>
      </c>
      <c r="O537" s="32">
        <v>1.1600000000000037</v>
      </c>
      <c r="P537" s="128">
        <f t="shared" si="49"/>
        <v>-1.009999999999998</v>
      </c>
      <c r="Q537" s="128">
        <f t="shared" si="50"/>
        <v>-2.09</v>
      </c>
      <c r="R537" s="128">
        <f t="shared" si="51"/>
        <v>-1.5499999999999972</v>
      </c>
      <c r="S537" s="115">
        <v>1</v>
      </c>
      <c r="T537" s="99">
        <v>1</v>
      </c>
      <c r="U537" s="99">
        <v>1</v>
      </c>
      <c r="V537" s="99">
        <v>1</v>
      </c>
      <c r="W537" s="99">
        <v>0</v>
      </c>
      <c r="X537" t="s">
        <v>17</v>
      </c>
      <c r="AC537"/>
      <c r="AD537"/>
    </row>
    <row r="538" spans="1:30" x14ac:dyDescent="0.3">
      <c r="A538" s="4">
        <v>1794</v>
      </c>
      <c r="B538" s="23">
        <v>-28.7</v>
      </c>
      <c r="C538" s="23">
        <v>-29.68</v>
      </c>
      <c r="D538" s="23">
        <v>-29.88</v>
      </c>
      <c r="E538" s="23">
        <v>-28.02</v>
      </c>
      <c r="F538" s="23"/>
      <c r="G538" s="23"/>
      <c r="H538" s="23"/>
      <c r="I538" s="11"/>
      <c r="J538" s="4" t="s">
        <v>18</v>
      </c>
      <c r="K538" s="32">
        <f t="shared" si="48"/>
        <v>-29.069999999999997</v>
      </c>
      <c r="L538" s="32">
        <v>1.8599999999999994</v>
      </c>
      <c r="M538" s="32">
        <v>-0.19999999999999929</v>
      </c>
      <c r="N538" s="32">
        <v>-0.98000000000000043</v>
      </c>
      <c r="O538" s="32">
        <v>0.23999999999999844</v>
      </c>
      <c r="P538" s="128">
        <f t="shared" si="49"/>
        <v>-0.19999999999999929</v>
      </c>
      <c r="Q538" s="128">
        <f t="shared" si="50"/>
        <v>-1.1799999999999997</v>
      </c>
      <c r="R538" s="128">
        <f t="shared" si="51"/>
        <v>-0.69000000000000128</v>
      </c>
      <c r="S538" s="115">
        <v>1</v>
      </c>
      <c r="T538" s="99">
        <v>1</v>
      </c>
      <c r="U538" s="99">
        <v>1</v>
      </c>
      <c r="V538" s="99">
        <v>1</v>
      </c>
      <c r="W538" s="99">
        <v>0</v>
      </c>
      <c r="X538" t="s">
        <v>16</v>
      </c>
      <c r="AC538"/>
      <c r="AD538"/>
    </row>
    <row r="539" spans="1:30" s="73" customFormat="1" ht="26.4" customHeight="1" x14ac:dyDescent="0.3">
      <c r="A539" s="72">
        <v>1795</v>
      </c>
      <c r="B539" s="74">
        <v>-29.3</v>
      </c>
      <c r="C539" s="25">
        <v>-28.5</v>
      </c>
      <c r="D539" s="75">
        <f t="shared" ref="D539:D564" si="53">IF(AND(ISBLANK(F539),ISBLANK(G539)),"",IF(ISBLANK(F539),G539,IF(ISBLANK(G539),F539,(G539+F539)/2)))</f>
        <v>-28.55</v>
      </c>
      <c r="E539" s="25">
        <v>-29.1</v>
      </c>
      <c r="F539" s="25">
        <v>-28.5</v>
      </c>
      <c r="G539" s="25">
        <v>-28.6</v>
      </c>
      <c r="J539" s="4" t="s">
        <v>18</v>
      </c>
      <c r="K539" s="76">
        <f t="shared" si="48"/>
        <v>-28.758333333333329</v>
      </c>
      <c r="L539" s="32">
        <v>-0.55000000000000071</v>
      </c>
      <c r="M539" s="32">
        <v>-5.0000000000000711E-2</v>
      </c>
      <c r="N539" s="32">
        <v>0.80000000000000071</v>
      </c>
      <c r="O539" s="32">
        <v>7.4999999999995737E-2</v>
      </c>
      <c r="P539" s="128">
        <f t="shared" si="49"/>
        <v>0.19999999999999929</v>
      </c>
      <c r="Q539" s="128">
        <f t="shared" si="50"/>
        <v>-0.60000000000000142</v>
      </c>
      <c r="R539" s="128">
        <f t="shared" si="51"/>
        <v>-0.20000000000000284</v>
      </c>
      <c r="S539" s="115">
        <v>0</v>
      </c>
      <c r="T539" s="99">
        <v>0</v>
      </c>
      <c r="U539" s="99">
        <v>0</v>
      </c>
      <c r="V539" s="99">
        <v>0</v>
      </c>
      <c r="W539" s="99">
        <v>0</v>
      </c>
      <c r="X539" t="s">
        <v>16</v>
      </c>
      <c r="Y539"/>
    </row>
    <row r="540" spans="1:30" s="73" customFormat="1" ht="20.399999999999999" customHeight="1" x14ac:dyDescent="0.3">
      <c r="A540" s="72">
        <v>1796</v>
      </c>
      <c r="B540" s="77">
        <v>-29.1</v>
      </c>
      <c r="C540" s="26">
        <v>-28</v>
      </c>
      <c r="D540" s="78">
        <f t="shared" si="53"/>
        <v>-28.5</v>
      </c>
      <c r="E540" s="26">
        <v>-28.6</v>
      </c>
      <c r="F540" s="26">
        <v>-28.5</v>
      </c>
      <c r="G540" s="26">
        <v>-28.5</v>
      </c>
      <c r="J540" s="4" t="s">
        <v>18</v>
      </c>
      <c r="K540" s="76">
        <f t="shared" si="48"/>
        <v>-28.533333333333331</v>
      </c>
      <c r="L540" s="32">
        <v>-0.10000000000000142</v>
      </c>
      <c r="M540" s="32">
        <v>-0.5</v>
      </c>
      <c r="N540" s="32">
        <v>1.1000000000000014</v>
      </c>
      <c r="O540" s="32">
        <v>0</v>
      </c>
      <c r="P540" s="128">
        <f t="shared" si="49"/>
        <v>0.5</v>
      </c>
      <c r="Q540" s="128">
        <f t="shared" si="50"/>
        <v>-0.60000000000000142</v>
      </c>
      <c r="R540" s="128">
        <f t="shared" si="51"/>
        <v>-5.0000000000000711E-2</v>
      </c>
      <c r="S540" s="115">
        <v>0</v>
      </c>
      <c r="T540" s="99">
        <v>0</v>
      </c>
      <c r="U540" s="99">
        <v>0</v>
      </c>
      <c r="V540" s="99">
        <v>0</v>
      </c>
      <c r="W540" s="99">
        <v>0</v>
      </c>
      <c r="X540" t="s">
        <v>16</v>
      </c>
      <c r="Y540"/>
    </row>
    <row r="541" spans="1:30" s="73" customFormat="1" ht="21.6" customHeight="1" x14ac:dyDescent="0.3">
      <c r="A541" s="72">
        <v>1797</v>
      </c>
      <c r="B541" s="77">
        <v>-29.2</v>
      </c>
      <c r="C541" s="26">
        <v>-27.8</v>
      </c>
      <c r="D541" s="78">
        <f t="shared" si="53"/>
        <v>-28.5</v>
      </c>
      <c r="E541" s="26">
        <v>-28.6</v>
      </c>
      <c r="F541" s="26">
        <v>-28.2</v>
      </c>
      <c r="G541" s="26">
        <v>-28.8</v>
      </c>
      <c r="J541" s="4" t="s">
        <v>18</v>
      </c>
      <c r="K541" s="76">
        <f t="shared" si="48"/>
        <v>-28.516666666666666</v>
      </c>
      <c r="L541" s="32">
        <v>-0.10000000000000142</v>
      </c>
      <c r="M541" s="32">
        <v>-0.69999999999999929</v>
      </c>
      <c r="N541" s="32">
        <v>1.3999999999999986</v>
      </c>
      <c r="O541" s="32">
        <v>-5.0000000000000711E-2</v>
      </c>
      <c r="P541" s="128">
        <f t="shared" si="49"/>
        <v>0.59999999999999787</v>
      </c>
      <c r="Q541" s="128">
        <f t="shared" si="50"/>
        <v>-0.80000000000000071</v>
      </c>
      <c r="R541" s="128">
        <f t="shared" si="51"/>
        <v>-0.10000000000000142</v>
      </c>
      <c r="S541" s="98">
        <v>0</v>
      </c>
      <c r="T541" s="99">
        <v>0</v>
      </c>
      <c r="U541" s="99">
        <v>0</v>
      </c>
      <c r="V541" s="99">
        <v>0</v>
      </c>
      <c r="W541" s="99">
        <v>0</v>
      </c>
      <c r="X541" s="73" t="s">
        <v>16</v>
      </c>
      <c r="Y541"/>
    </row>
    <row r="542" spans="1:30" s="73" customFormat="1" ht="18" customHeight="1" x14ac:dyDescent="0.3">
      <c r="A542" s="72">
        <v>1798</v>
      </c>
      <c r="B542" s="77">
        <v>-29.1</v>
      </c>
      <c r="C542" s="26">
        <v>-28.3</v>
      </c>
      <c r="D542" s="78">
        <f t="shared" si="53"/>
        <v>-28.95</v>
      </c>
      <c r="E542" s="26">
        <v>-28.7</v>
      </c>
      <c r="F542" s="26">
        <v>-28.7</v>
      </c>
      <c r="G542" s="26">
        <v>-29.2</v>
      </c>
      <c r="J542" s="4" t="s">
        <v>18</v>
      </c>
      <c r="K542" s="76">
        <f t="shared" si="48"/>
        <v>-28.824999999999999</v>
      </c>
      <c r="L542" s="32">
        <v>0.25</v>
      </c>
      <c r="M542" s="32">
        <v>-0.64999999999999858</v>
      </c>
      <c r="N542" s="32">
        <v>0.80000000000000071</v>
      </c>
      <c r="O542" s="32">
        <v>-0.12499999999999645</v>
      </c>
      <c r="P542" s="128">
        <f t="shared" si="49"/>
        <v>0.15000000000000213</v>
      </c>
      <c r="Q542" s="128">
        <f t="shared" si="50"/>
        <v>-0.64999999999999858</v>
      </c>
      <c r="R542" s="128">
        <f t="shared" si="51"/>
        <v>-0.24999999999999645</v>
      </c>
      <c r="S542" s="98">
        <v>1</v>
      </c>
      <c r="T542" s="99">
        <v>0</v>
      </c>
      <c r="U542" s="99">
        <v>0</v>
      </c>
      <c r="V542" s="99">
        <v>0</v>
      </c>
      <c r="W542" s="99">
        <v>0</v>
      </c>
      <c r="X542" s="73" t="s">
        <v>16</v>
      </c>
      <c r="Y542"/>
    </row>
    <row r="543" spans="1:30" s="73" customFormat="1" ht="19.2" customHeight="1" x14ac:dyDescent="0.3">
      <c r="A543" s="72">
        <v>1799</v>
      </c>
      <c r="B543" s="77">
        <v>-29.5</v>
      </c>
      <c r="C543" s="26">
        <v>-28.7</v>
      </c>
      <c r="D543" s="78">
        <f t="shared" si="53"/>
        <v>-28.950000000000003</v>
      </c>
      <c r="E543" s="26">
        <v>-29.4</v>
      </c>
      <c r="F543" s="26">
        <v>-28.8</v>
      </c>
      <c r="G543" s="26">
        <v>-29.1</v>
      </c>
      <c r="J543" s="4" t="s">
        <v>18</v>
      </c>
      <c r="K543" s="76">
        <f t="shared" si="48"/>
        <v>-29.075000000000003</v>
      </c>
      <c r="L543" s="32">
        <v>-0.44999999999999574</v>
      </c>
      <c r="M543" s="32">
        <v>-0.25000000000000355</v>
      </c>
      <c r="N543" s="32">
        <v>0.80000000000000071</v>
      </c>
      <c r="O543" s="32">
        <v>-7.4999999999999289E-2</v>
      </c>
      <c r="P543" s="128">
        <f t="shared" si="49"/>
        <v>0.10000000000000142</v>
      </c>
      <c r="Q543" s="128">
        <f t="shared" si="50"/>
        <v>-0.69999999999999929</v>
      </c>
      <c r="R543" s="128">
        <f t="shared" si="51"/>
        <v>-0.29999999999999716</v>
      </c>
      <c r="S543" s="115">
        <v>0</v>
      </c>
      <c r="T543" s="99">
        <v>0</v>
      </c>
      <c r="U543" s="99">
        <v>0</v>
      </c>
      <c r="V543" s="99">
        <v>0</v>
      </c>
      <c r="W543" s="99">
        <v>0</v>
      </c>
      <c r="X543" t="s">
        <v>16</v>
      </c>
      <c r="Y543"/>
    </row>
    <row r="544" spans="1:30" s="73" customFormat="1" ht="19.2" customHeight="1" x14ac:dyDescent="0.3">
      <c r="A544" s="72">
        <v>1800</v>
      </c>
      <c r="B544" s="77">
        <v>-31.4</v>
      </c>
      <c r="C544" s="26">
        <v>-30.7</v>
      </c>
      <c r="D544" s="78">
        <f t="shared" si="53"/>
        <v>-31</v>
      </c>
      <c r="E544" s="26">
        <v>-30.3</v>
      </c>
      <c r="F544" s="26">
        <v>-30.8</v>
      </c>
      <c r="G544" s="26">
        <v>-31.2</v>
      </c>
      <c r="J544" s="4" t="s">
        <v>18</v>
      </c>
      <c r="K544" s="76">
        <f t="shared" si="48"/>
        <v>-30.899999999999995</v>
      </c>
      <c r="L544" s="32">
        <v>0.69999999999999929</v>
      </c>
      <c r="M544" s="32">
        <v>-0.30000000000000071</v>
      </c>
      <c r="N544" s="32">
        <v>0.69999999999999929</v>
      </c>
      <c r="O544" s="32">
        <v>0.39999999999999858</v>
      </c>
      <c r="P544" s="128">
        <f t="shared" si="49"/>
        <v>0.39999999999999858</v>
      </c>
      <c r="Q544" s="128">
        <f t="shared" si="50"/>
        <v>-0.30000000000000071</v>
      </c>
      <c r="R544" s="128">
        <f t="shared" si="51"/>
        <v>4.9999999999997158E-2</v>
      </c>
      <c r="S544" s="98">
        <v>1</v>
      </c>
      <c r="T544" s="99">
        <v>0</v>
      </c>
      <c r="U544" s="99">
        <v>0</v>
      </c>
      <c r="V544" s="99">
        <v>0</v>
      </c>
      <c r="W544" s="99">
        <v>0</v>
      </c>
      <c r="X544" s="73" t="s">
        <v>16</v>
      </c>
      <c r="Y544"/>
    </row>
    <row r="545" spans="1:25" s="73" customFormat="1" ht="15.6" customHeight="1" x14ac:dyDescent="0.3">
      <c r="A545" s="72">
        <v>1801</v>
      </c>
      <c r="B545" s="77">
        <v>-29.6</v>
      </c>
      <c r="C545" s="26">
        <v>-28.7</v>
      </c>
      <c r="D545" s="78">
        <f t="shared" si="53"/>
        <v>-28.45</v>
      </c>
      <c r="E545" s="26">
        <v>-28.4</v>
      </c>
      <c r="F545" s="26">
        <v>-28.4</v>
      </c>
      <c r="G545" s="26">
        <v>-28.5</v>
      </c>
      <c r="J545" s="4" t="s">
        <v>18</v>
      </c>
      <c r="K545" s="76">
        <f t="shared" si="48"/>
        <v>-28.675000000000001</v>
      </c>
      <c r="L545" s="32">
        <v>5.0000000000000711E-2</v>
      </c>
      <c r="M545" s="32">
        <v>0.25</v>
      </c>
      <c r="N545" s="32">
        <v>0.90000000000000213</v>
      </c>
      <c r="O545" s="32">
        <v>0.72500000000000142</v>
      </c>
      <c r="P545" s="128">
        <f t="shared" si="49"/>
        <v>1.1500000000000021</v>
      </c>
      <c r="Q545" s="128">
        <f t="shared" si="50"/>
        <v>0.25</v>
      </c>
      <c r="R545" s="128">
        <f t="shared" si="51"/>
        <v>0.69999999999999929</v>
      </c>
      <c r="S545" s="115">
        <v>0</v>
      </c>
      <c r="T545" s="99">
        <v>0</v>
      </c>
      <c r="U545" s="99">
        <v>0</v>
      </c>
      <c r="V545" s="99">
        <v>0</v>
      </c>
      <c r="W545" s="99">
        <v>0</v>
      </c>
      <c r="X545" t="s">
        <v>16</v>
      </c>
      <c r="Y545"/>
    </row>
    <row r="546" spans="1:25" s="73" customFormat="1" ht="18" customHeight="1" x14ac:dyDescent="0.3">
      <c r="A546" s="72">
        <v>1802</v>
      </c>
      <c r="B546" s="77">
        <v>-29.7</v>
      </c>
      <c r="C546" s="26">
        <v>-27.3</v>
      </c>
      <c r="D546" s="78">
        <f t="shared" si="53"/>
        <v>-28.15</v>
      </c>
      <c r="E546" s="26">
        <v>-28.8</v>
      </c>
      <c r="F546" s="26">
        <v>-27.2</v>
      </c>
      <c r="G546" s="26">
        <v>-29.1</v>
      </c>
      <c r="J546" s="84" t="s">
        <v>11</v>
      </c>
      <c r="K546" s="76">
        <f t="shared" si="48"/>
        <v>-28.375</v>
      </c>
      <c r="L546" s="32">
        <v>-0.65000000000000213</v>
      </c>
      <c r="M546" s="32">
        <v>-0.84999999999999787</v>
      </c>
      <c r="N546" s="32">
        <v>2.3999999999999986</v>
      </c>
      <c r="O546" s="32">
        <v>2.4999999999998579E-2</v>
      </c>
      <c r="P546" s="128">
        <f t="shared" si="49"/>
        <v>0.89999999999999858</v>
      </c>
      <c r="Q546" s="128">
        <f t="shared" si="50"/>
        <v>-1.5</v>
      </c>
      <c r="R546" s="128">
        <f t="shared" si="51"/>
        <v>-0.30000000000000071</v>
      </c>
      <c r="S546" s="98">
        <v>0</v>
      </c>
      <c r="T546" s="99">
        <v>0</v>
      </c>
      <c r="U546" s="99">
        <v>0</v>
      </c>
      <c r="V546" s="99">
        <v>0</v>
      </c>
      <c r="W546" s="99">
        <v>0</v>
      </c>
      <c r="X546" s="73" t="s">
        <v>16</v>
      </c>
      <c r="Y546"/>
    </row>
    <row r="547" spans="1:25" s="73" customFormat="1" ht="16.8" customHeight="1" x14ac:dyDescent="0.3">
      <c r="A547" s="72">
        <v>1803</v>
      </c>
      <c r="B547" s="77">
        <v>-30.2</v>
      </c>
      <c r="C547" s="26">
        <v>-29.8</v>
      </c>
      <c r="D547" s="78">
        <f t="shared" si="53"/>
        <v>-30.200000000000003</v>
      </c>
      <c r="E547" s="26">
        <v>-29.7</v>
      </c>
      <c r="F547" s="26">
        <v>-30.1</v>
      </c>
      <c r="G547" s="26">
        <v>-30.3</v>
      </c>
      <c r="J547" s="4" t="s">
        <v>18</v>
      </c>
      <c r="K547" s="76">
        <f t="shared" si="48"/>
        <v>-30.05</v>
      </c>
      <c r="L547" s="32">
        <v>0.50000000000000355</v>
      </c>
      <c r="M547" s="32">
        <v>-0.40000000000000213</v>
      </c>
      <c r="N547" s="32">
        <v>0.39999999999999858</v>
      </c>
      <c r="O547" s="32">
        <v>4.9999999999997158E-2</v>
      </c>
      <c r="P547" s="128">
        <f t="shared" si="49"/>
        <v>-3.5527136788005009E-15</v>
      </c>
      <c r="Q547" s="128">
        <f t="shared" si="50"/>
        <v>-0.40000000000000213</v>
      </c>
      <c r="R547" s="128">
        <f t="shared" si="51"/>
        <v>-0.20000000000000284</v>
      </c>
      <c r="S547" s="98">
        <v>1</v>
      </c>
      <c r="T547" s="99">
        <v>0</v>
      </c>
      <c r="U547" s="99">
        <v>0</v>
      </c>
      <c r="V547" s="99">
        <v>0</v>
      </c>
      <c r="W547" s="99">
        <v>0</v>
      </c>
      <c r="X547" s="73" t="s">
        <v>16</v>
      </c>
      <c r="Y547"/>
    </row>
    <row r="548" spans="1:25" s="73" customFormat="1" ht="14.4" customHeight="1" x14ac:dyDescent="0.3">
      <c r="A548" s="72">
        <v>1804</v>
      </c>
      <c r="B548" s="77">
        <v>-28.8</v>
      </c>
      <c r="C548" s="26">
        <v>-29.3</v>
      </c>
      <c r="D548" s="78">
        <f t="shared" si="53"/>
        <v>-29.4</v>
      </c>
      <c r="E548" s="26">
        <v>-29.1</v>
      </c>
      <c r="F548" s="26">
        <v>-29.1</v>
      </c>
      <c r="G548" s="26">
        <v>-29.7</v>
      </c>
      <c r="J548" s="4" t="s">
        <v>18</v>
      </c>
      <c r="K548" s="76">
        <f t="shared" si="48"/>
        <v>-29.233333333333331</v>
      </c>
      <c r="L548" s="32">
        <v>0.29999999999999716</v>
      </c>
      <c r="M548" s="32">
        <v>-9.9999999999997868E-2</v>
      </c>
      <c r="N548" s="32">
        <v>-0.5</v>
      </c>
      <c r="O548" s="32">
        <v>-0.19999999999999929</v>
      </c>
      <c r="P548" s="128">
        <f t="shared" si="49"/>
        <v>-9.9999999999997868E-2</v>
      </c>
      <c r="Q548" s="128">
        <f t="shared" si="50"/>
        <v>-0.59999999999999787</v>
      </c>
      <c r="R548" s="128">
        <f t="shared" si="51"/>
        <v>-0.34999999999999787</v>
      </c>
      <c r="S548" s="98">
        <v>0</v>
      </c>
      <c r="T548" s="99">
        <v>1</v>
      </c>
      <c r="U548" s="99">
        <v>1</v>
      </c>
      <c r="V548" s="99">
        <v>1</v>
      </c>
      <c r="W548" s="99">
        <v>0</v>
      </c>
      <c r="X548" s="73" t="s">
        <v>16</v>
      </c>
      <c r="Y548"/>
    </row>
    <row r="549" spans="1:25" s="73" customFormat="1" ht="15.6" customHeight="1" x14ac:dyDescent="0.3">
      <c r="A549" s="72">
        <v>1805</v>
      </c>
      <c r="B549" s="77">
        <v>-30.1</v>
      </c>
      <c r="C549" s="26">
        <v>-29.2</v>
      </c>
      <c r="D549" s="78">
        <f t="shared" si="53"/>
        <v>-29.25</v>
      </c>
      <c r="E549" s="26">
        <v>-29</v>
      </c>
      <c r="F549" s="26">
        <v>-29.1</v>
      </c>
      <c r="G549" s="26">
        <v>-29.4</v>
      </c>
      <c r="J549" s="4" t="s">
        <v>18</v>
      </c>
      <c r="K549" s="76">
        <f t="shared" si="48"/>
        <v>-29.341666666666669</v>
      </c>
      <c r="L549" s="32">
        <v>0.25</v>
      </c>
      <c r="M549" s="32">
        <v>-5.0000000000000711E-2</v>
      </c>
      <c r="N549" s="32">
        <v>0.90000000000000213</v>
      </c>
      <c r="O549" s="32">
        <v>0.52499999999999858</v>
      </c>
      <c r="P549" s="128">
        <f t="shared" si="49"/>
        <v>0.85000000000000142</v>
      </c>
      <c r="Q549" s="128">
        <f t="shared" si="50"/>
        <v>-5.0000000000000711E-2</v>
      </c>
      <c r="R549" s="128">
        <f t="shared" si="51"/>
        <v>0.39999999999999858</v>
      </c>
      <c r="S549" s="98">
        <v>0</v>
      </c>
      <c r="T549" s="99">
        <v>0</v>
      </c>
      <c r="U549" s="99">
        <v>0</v>
      </c>
      <c r="V549" s="99">
        <v>0</v>
      </c>
      <c r="W549" s="99">
        <v>0</v>
      </c>
      <c r="X549" s="73" t="s">
        <v>16</v>
      </c>
      <c r="Y549"/>
    </row>
    <row r="550" spans="1:25" s="73" customFormat="1" ht="21.6" customHeight="1" x14ac:dyDescent="0.3">
      <c r="A550" s="72">
        <v>1806</v>
      </c>
      <c r="B550" s="77">
        <f>-28.7</f>
        <v>-28.7</v>
      </c>
      <c r="C550" s="26">
        <v>-28.4</v>
      </c>
      <c r="D550" s="78">
        <f t="shared" si="53"/>
        <v>-28.1</v>
      </c>
      <c r="E550" s="26">
        <v>-27.6</v>
      </c>
      <c r="F550" s="26">
        <v>-28.1</v>
      </c>
      <c r="G550" s="26">
        <v>-28.1</v>
      </c>
      <c r="J550" s="84" t="s">
        <v>11</v>
      </c>
      <c r="K550" s="76">
        <f t="shared" si="48"/>
        <v>-28.166666666666661</v>
      </c>
      <c r="L550" s="32">
        <v>0.5</v>
      </c>
      <c r="M550" s="32">
        <v>0.29999999999999716</v>
      </c>
      <c r="N550" s="32">
        <v>0.30000000000000071</v>
      </c>
      <c r="O550" s="32">
        <v>0.69999999999999574</v>
      </c>
      <c r="P550" s="128">
        <f t="shared" si="49"/>
        <v>0.59999999999999787</v>
      </c>
      <c r="Q550" s="128">
        <f t="shared" si="50"/>
        <v>0.29999999999999716</v>
      </c>
      <c r="R550" s="128">
        <f t="shared" si="51"/>
        <v>0.44999999999999574</v>
      </c>
      <c r="S550" s="115">
        <v>0</v>
      </c>
      <c r="T550" s="99">
        <v>0</v>
      </c>
      <c r="U550" s="99">
        <v>0</v>
      </c>
      <c r="V550" s="99">
        <v>0</v>
      </c>
      <c r="W550" s="99">
        <v>0</v>
      </c>
      <c r="X550" t="s">
        <v>16</v>
      </c>
      <c r="Y550"/>
    </row>
    <row r="551" spans="1:25" s="73" customFormat="1" ht="19.8" customHeight="1" x14ac:dyDescent="0.3">
      <c r="A551" s="72">
        <v>1807</v>
      </c>
      <c r="B551" s="77">
        <v>-27.6</v>
      </c>
      <c r="C551" s="26">
        <v>-26.2</v>
      </c>
      <c r="D551" s="78">
        <f t="shared" si="53"/>
        <v>-27.1</v>
      </c>
      <c r="E551" s="26">
        <v>-26.8</v>
      </c>
      <c r="F551" s="26">
        <v>-27</v>
      </c>
      <c r="G551" s="26">
        <v>-27.2</v>
      </c>
      <c r="J551" s="84" t="s">
        <v>11</v>
      </c>
      <c r="K551" s="76">
        <f t="shared" si="48"/>
        <v>-26.983333333333331</v>
      </c>
      <c r="L551" s="32">
        <v>0.30000000000000071</v>
      </c>
      <c r="M551" s="32">
        <v>-0.90000000000000213</v>
      </c>
      <c r="N551" s="32">
        <v>1.4000000000000021</v>
      </c>
      <c r="O551" s="32">
        <v>-5.0000000000004263E-2</v>
      </c>
      <c r="P551" s="128">
        <f t="shared" si="49"/>
        <v>0.5</v>
      </c>
      <c r="Q551" s="128">
        <f t="shared" si="50"/>
        <v>-0.90000000000000213</v>
      </c>
      <c r="R551" s="128">
        <f t="shared" si="51"/>
        <v>-0.20000000000000284</v>
      </c>
      <c r="S551" s="98">
        <v>1</v>
      </c>
      <c r="T551" s="99">
        <v>0</v>
      </c>
      <c r="U551" s="99">
        <v>0</v>
      </c>
      <c r="V551" s="99">
        <v>0</v>
      </c>
      <c r="W551" s="99">
        <v>0</v>
      </c>
      <c r="X551" s="73" t="s">
        <v>16</v>
      </c>
      <c r="Y551"/>
    </row>
    <row r="552" spans="1:25" s="73" customFormat="1" ht="20.399999999999999" customHeight="1" x14ac:dyDescent="0.3">
      <c r="A552" s="72">
        <v>1808</v>
      </c>
      <c r="B552" s="77">
        <v>-29.5</v>
      </c>
      <c r="C552" s="26">
        <v>-29.9</v>
      </c>
      <c r="D552" s="78">
        <f t="shared" si="53"/>
        <v>-29.95</v>
      </c>
      <c r="E552" s="26">
        <v>-29.4</v>
      </c>
      <c r="F552" s="26">
        <v>-29.7</v>
      </c>
      <c r="G552" s="26">
        <v>-30.2</v>
      </c>
      <c r="J552" s="4" t="s">
        <v>18</v>
      </c>
      <c r="K552" s="76">
        <f t="shared" si="48"/>
        <v>-29.774999999999995</v>
      </c>
      <c r="L552" s="32">
        <v>0.55000000000000071</v>
      </c>
      <c r="M552" s="32">
        <v>-5.0000000000000711E-2</v>
      </c>
      <c r="N552" s="32">
        <v>-0.39999999999999858</v>
      </c>
      <c r="O552" s="32">
        <v>2.5000000000002132E-2</v>
      </c>
      <c r="P552" s="128">
        <f t="shared" si="49"/>
        <v>-5.0000000000000711E-2</v>
      </c>
      <c r="Q552" s="128">
        <f t="shared" si="50"/>
        <v>-0.44999999999999929</v>
      </c>
      <c r="R552" s="128">
        <f t="shared" si="51"/>
        <v>-0.25</v>
      </c>
      <c r="S552" s="98">
        <v>0</v>
      </c>
      <c r="T552" s="99">
        <v>1</v>
      </c>
      <c r="U552" s="99">
        <v>1</v>
      </c>
      <c r="V552" s="99">
        <v>1</v>
      </c>
      <c r="W552" s="99">
        <v>0</v>
      </c>
      <c r="X552" s="73" t="s">
        <v>16</v>
      </c>
      <c r="Y552"/>
    </row>
    <row r="553" spans="1:25" s="73" customFormat="1" ht="20.399999999999999" customHeight="1" x14ac:dyDescent="0.3">
      <c r="A553" s="72">
        <v>1809</v>
      </c>
      <c r="B553" s="77">
        <v>-30.3</v>
      </c>
      <c r="C553" s="26">
        <v>-28.9</v>
      </c>
      <c r="D553" s="78">
        <f t="shared" si="53"/>
        <v>-29.799999999999997</v>
      </c>
      <c r="E553" s="26">
        <v>-29.2</v>
      </c>
      <c r="F553" s="26">
        <v>-29.7</v>
      </c>
      <c r="G553" s="26">
        <v>-29.9</v>
      </c>
      <c r="J553" s="4" t="s">
        <v>18</v>
      </c>
      <c r="K553" s="76">
        <f t="shared" si="48"/>
        <v>-29.633333333333336</v>
      </c>
      <c r="L553" s="32">
        <v>0.59999999999999787</v>
      </c>
      <c r="M553" s="32">
        <v>-0.89999999999999858</v>
      </c>
      <c r="N553" s="32">
        <v>1.4000000000000021</v>
      </c>
      <c r="O553" s="32">
        <v>0.10000000000000142</v>
      </c>
      <c r="P553" s="128">
        <f t="shared" si="49"/>
        <v>0.50000000000000355</v>
      </c>
      <c r="Q553" s="128">
        <f t="shared" si="50"/>
        <v>-0.89999999999999858</v>
      </c>
      <c r="R553" s="128">
        <f t="shared" si="51"/>
        <v>-0.19999999999999574</v>
      </c>
      <c r="S553" s="98">
        <v>1</v>
      </c>
      <c r="T553" s="99">
        <v>0</v>
      </c>
      <c r="U553" s="99">
        <v>0</v>
      </c>
      <c r="V553" s="99">
        <v>0</v>
      </c>
      <c r="W553" s="99">
        <v>0</v>
      </c>
      <c r="X553" s="73" t="s">
        <v>16</v>
      </c>
      <c r="Y553"/>
    </row>
    <row r="554" spans="1:25" s="73" customFormat="1" ht="19.2" customHeight="1" x14ac:dyDescent="0.3">
      <c r="A554" s="72">
        <v>1810</v>
      </c>
      <c r="B554" s="77">
        <v>-30.2</v>
      </c>
      <c r="C554" s="26">
        <v>-29.4</v>
      </c>
      <c r="D554" s="78">
        <f t="shared" si="53"/>
        <v>-29.950000000000003</v>
      </c>
      <c r="E554" s="26">
        <v>-29.5</v>
      </c>
      <c r="F554" s="26">
        <v>-29.8</v>
      </c>
      <c r="G554" s="26">
        <v>-30.1</v>
      </c>
      <c r="J554" s="4" t="s">
        <v>18</v>
      </c>
      <c r="K554" s="76">
        <f t="shared" si="48"/>
        <v>-29.824999999999999</v>
      </c>
      <c r="L554" s="32">
        <v>0.45000000000000284</v>
      </c>
      <c r="M554" s="32">
        <v>-0.55000000000000426</v>
      </c>
      <c r="N554" s="32">
        <v>0.80000000000000071</v>
      </c>
      <c r="O554" s="32">
        <v>7.4999999999995737E-2</v>
      </c>
      <c r="P554" s="128">
        <f t="shared" si="49"/>
        <v>0.24999999999999645</v>
      </c>
      <c r="Q554" s="128">
        <f t="shared" si="50"/>
        <v>-0.55000000000000426</v>
      </c>
      <c r="R554" s="128">
        <f t="shared" si="51"/>
        <v>-0.15000000000000568</v>
      </c>
      <c r="S554" s="98">
        <v>1</v>
      </c>
      <c r="T554" s="99">
        <v>0</v>
      </c>
      <c r="U554" s="99">
        <v>0</v>
      </c>
      <c r="V554" s="99">
        <v>0</v>
      </c>
      <c r="W554" s="99">
        <v>0</v>
      </c>
      <c r="X554" s="73" t="s">
        <v>16</v>
      </c>
      <c r="Y554"/>
    </row>
    <row r="555" spans="1:25" s="73" customFormat="1" ht="19.2" customHeight="1" x14ac:dyDescent="0.3">
      <c r="A555" s="72">
        <v>1811</v>
      </c>
      <c r="B555" s="77">
        <v>-29.4</v>
      </c>
      <c r="C555" s="26">
        <v>-29.5</v>
      </c>
      <c r="D555" s="78">
        <f t="shared" si="53"/>
        <v>-28.799999999999997</v>
      </c>
      <c r="E555" s="26">
        <v>-28.7</v>
      </c>
      <c r="F555" s="26">
        <v>-28.7</v>
      </c>
      <c r="G555" s="26">
        <v>-28.9</v>
      </c>
      <c r="J555" s="4" t="s">
        <v>18</v>
      </c>
      <c r="K555" s="76">
        <f t="shared" si="48"/>
        <v>-29</v>
      </c>
      <c r="L555" s="32">
        <v>9.9999999999997868E-2</v>
      </c>
      <c r="M555" s="32">
        <v>0.70000000000000284</v>
      </c>
      <c r="N555" s="32">
        <v>-0.10000000000000142</v>
      </c>
      <c r="O555" s="32">
        <v>0.69999999999999929</v>
      </c>
      <c r="P555" s="128">
        <f t="shared" si="49"/>
        <v>0.70000000000000284</v>
      </c>
      <c r="Q555" s="128">
        <f t="shared" si="50"/>
        <v>0.60000000000000142</v>
      </c>
      <c r="R555" s="128">
        <f t="shared" si="51"/>
        <v>0.65000000000000213</v>
      </c>
      <c r="S555" s="98">
        <v>0</v>
      </c>
      <c r="T555" s="99">
        <v>1</v>
      </c>
      <c r="U555" s="99">
        <v>1</v>
      </c>
      <c r="V555" s="99">
        <v>1</v>
      </c>
      <c r="W555" s="99">
        <v>0</v>
      </c>
      <c r="X555" s="73" t="s">
        <v>16</v>
      </c>
      <c r="Y555"/>
    </row>
    <row r="556" spans="1:25" s="73" customFormat="1" ht="20.399999999999999" customHeight="1" x14ac:dyDescent="0.3">
      <c r="A556" s="72">
        <v>1812</v>
      </c>
      <c r="B556" s="77">
        <v>-30.7</v>
      </c>
      <c r="C556" s="26">
        <v>-29.9</v>
      </c>
      <c r="D556" s="78">
        <f t="shared" si="53"/>
        <v>-29.9</v>
      </c>
      <c r="E556" s="26">
        <v>-29.5</v>
      </c>
      <c r="F556" s="26">
        <v>-30.1</v>
      </c>
      <c r="G556" s="26">
        <v>-29.7</v>
      </c>
      <c r="J556" s="4" t="s">
        <v>18</v>
      </c>
      <c r="K556" s="76">
        <f t="shared" si="48"/>
        <v>-29.966666666666665</v>
      </c>
      <c r="L556" s="32">
        <v>0.39999999999999858</v>
      </c>
      <c r="M556" s="32">
        <v>0</v>
      </c>
      <c r="N556" s="32">
        <v>0.80000000000000071</v>
      </c>
      <c r="O556" s="32">
        <v>0.59999999999999787</v>
      </c>
      <c r="P556" s="128">
        <f t="shared" si="49"/>
        <v>0.80000000000000071</v>
      </c>
      <c r="Q556" s="128">
        <f t="shared" si="50"/>
        <v>0</v>
      </c>
      <c r="R556" s="128">
        <f t="shared" si="51"/>
        <v>0.39999999999999858</v>
      </c>
      <c r="S556" s="98">
        <v>0</v>
      </c>
      <c r="T556" s="99">
        <v>0</v>
      </c>
      <c r="U556" s="99">
        <v>0</v>
      </c>
      <c r="V556" s="99">
        <v>0</v>
      </c>
      <c r="W556" s="99">
        <v>0</v>
      </c>
      <c r="X556" s="73" t="s">
        <v>16</v>
      </c>
      <c r="Y556"/>
    </row>
    <row r="557" spans="1:25" s="73" customFormat="1" ht="16.8" customHeight="1" x14ac:dyDescent="0.3">
      <c r="A557" s="72">
        <v>1813</v>
      </c>
      <c r="B557" s="77">
        <v>-30</v>
      </c>
      <c r="C557" s="26">
        <v>-28.7</v>
      </c>
      <c r="D557" s="78">
        <f t="shared" si="53"/>
        <v>-29.35</v>
      </c>
      <c r="E557" s="26">
        <v>-29</v>
      </c>
      <c r="F557" s="26">
        <v>-29.3</v>
      </c>
      <c r="G557" s="26">
        <v>-29.4</v>
      </c>
      <c r="J557" s="4" t="s">
        <v>18</v>
      </c>
      <c r="K557" s="76">
        <f t="shared" si="48"/>
        <v>-29.291666666666671</v>
      </c>
      <c r="L557" s="32">
        <v>0.35000000000000142</v>
      </c>
      <c r="M557" s="32">
        <v>-0.65000000000000213</v>
      </c>
      <c r="N557" s="32">
        <v>1.3000000000000007</v>
      </c>
      <c r="O557" s="32">
        <v>0.17500000000000071</v>
      </c>
      <c r="P557" s="128">
        <f t="shared" si="49"/>
        <v>0.64999999999999858</v>
      </c>
      <c r="Q557" s="128">
        <f t="shared" si="50"/>
        <v>-0.65000000000000213</v>
      </c>
      <c r="R557" s="128">
        <f t="shared" si="51"/>
        <v>0</v>
      </c>
      <c r="S557" s="98">
        <v>1</v>
      </c>
      <c r="T557" s="99">
        <v>0</v>
      </c>
      <c r="U557" s="99">
        <v>0</v>
      </c>
      <c r="V557" s="99">
        <v>0</v>
      </c>
      <c r="W557" s="99">
        <v>0</v>
      </c>
      <c r="X557" s="73" t="s">
        <v>16</v>
      </c>
      <c r="Y557"/>
    </row>
    <row r="558" spans="1:25" s="73" customFormat="1" ht="15.6" customHeight="1" x14ac:dyDescent="0.3">
      <c r="A558" s="72">
        <v>1814</v>
      </c>
      <c r="B558" s="77">
        <v>-29.9</v>
      </c>
      <c r="C558" s="26">
        <v>-28.3</v>
      </c>
      <c r="D558" s="78">
        <f t="shared" si="53"/>
        <v>-28.85</v>
      </c>
      <c r="E558" s="26">
        <v>-29.1</v>
      </c>
      <c r="F558" s="26">
        <v>-28.5</v>
      </c>
      <c r="G558" s="26">
        <v>-29.2</v>
      </c>
      <c r="J558" s="4" t="s">
        <v>18</v>
      </c>
      <c r="K558" s="76">
        <f t="shared" si="48"/>
        <v>-28.974999999999998</v>
      </c>
      <c r="L558" s="32">
        <v>-0.25</v>
      </c>
      <c r="M558" s="32">
        <v>-0.55000000000000071</v>
      </c>
      <c r="N558" s="32">
        <v>1.5999999999999979</v>
      </c>
      <c r="O558" s="32">
        <v>0.125</v>
      </c>
      <c r="P558" s="128">
        <f t="shared" si="49"/>
        <v>0.79999999999999716</v>
      </c>
      <c r="Q558" s="128">
        <f t="shared" si="50"/>
        <v>-0.80000000000000071</v>
      </c>
      <c r="R558" s="128">
        <f t="shared" si="51"/>
        <v>0</v>
      </c>
      <c r="S558" s="98">
        <v>0</v>
      </c>
      <c r="T558" s="99">
        <v>0</v>
      </c>
      <c r="U558" s="99">
        <v>0</v>
      </c>
      <c r="V558" s="99">
        <v>0</v>
      </c>
      <c r="W558" s="99">
        <v>0</v>
      </c>
      <c r="X558" s="73" t="s">
        <v>16</v>
      </c>
      <c r="Y558"/>
    </row>
    <row r="559" spans="1:25" s="73" customFormat="1" ht="18" customHeight="1" x14ac:dyDescent="0.3">
      <c r="A559" s="72">
        <v>1815</v>
      </c>
      <c r="B559" s="77">
        <v>-29.4</v>
      </c>
      <c r="C559" s="26">
        <v>-29.6</v>
      </c>
      <c r="D559" s="78">
        <f t="shared" si="53"/>
        <v>-30</v>
      </c>
      <c r="E559" s="26">
        <v>-29.8</v>
      </c>
      <c r="F559" s="26">
        <v>-29.9</v>
      </c>
      <c r="G559" s="26">
        <v>-30.1</v>
      </c>
      <c r="J559" s="4" t="s">
        <v>18</v>
      </c>
      <c r="K559" s="76">
        <f t="shared" si="48"/>
        <v>-29.799999999999997</v>
      </c>
      <c r="L559" s="32">
        <v>0.19999999999999929</v>
      </c>
      <c r="M559" s="32">
        <v>-0.39999999999999858</v>
      </c>
      <c r="N559" s="32">
        <v>-0.20000000000000284</v>
      </c>
      <c r="O559" s="32">
        <v>-0.39999999999999858</v>
      </c>
      <c r="P559" s="128">
        <f t="shared" si="49"/>
        <v>-0.39999999999999858</v>
      </c>
      <c r="Q559" s="128">
        <f t="shared" si="50"/>
        <v>-0.60000000000000142</v>
      </c>
      <c r="R559" s="128">
        <f t="shared" si="51"/>
        <v>-0.5</v>
      </c>
      <c r="S559" s="98">
        <v>1</v>
      </c>
      <c r="T559" s="99">
        <v>1</v>
      </c>
      <c r="U559" s="99">
        <v>1</v>
      </c>
      <c r="V559" s="99">
        <v>1</v>
      </c>
      <c r="W559" s="99">
        <v>0</v>
      </c>
      <c r="X559" s="73" t="s">
        <v>16</v>
      </c>
      <c r="Y559"/>
    </row>
    <row r="560" spans="1:25" s="73" customFormat="1" ht="18" customHeight="1" x14ac:dyDescent="0.3">
      <c r="A560" s="72">
        <v>1816</v>
      </c>
      <c r="B560" s="77">
        <v>-28.4</v>
      </c>
      <c r="C560" s="26">
        <v>-29.9</v>
      </c>
      <c r="D560" s="78">
        <f t="shared" si="53"/>
        <v>-27.9</v>
      </c>
      <c r="E560" s="26">
        <v>-28.2</v>
      </c>
      <c r="F560" s="26">
        <v>-27.3</v>
      </c>
      <c r="G560" s="26">
        <v>-28.5</v>
      </c>
      <c r="J560" s="84" t="s">
        <v>11</v>
      </c>
      <c r="K560" s="76">
        <f t="shared" si="48"/>
        <v>-28.366666666666664</v>
      </c>
      <c r="L560" s="32">
        <v>-0.30000000000000071</v>
      </c>
      <c r="M560" s="32">
        <v>2</v>
      </c>
      <c r="N560" s="32">
        <v>-1.5</v>
      </c>
      <c r="O560" s="32">
        <v>1.1000000000000014</v>
      </c>
      <c r="P560" s="128">
        <f t="shared" si="49"/>
        <v>1.6999999999999993</v>
      </c>
      <c r="Q560" s="128">
        <f t="shared" si="50"/>
        <v>0.19999999999999929</v>
      </c>
      <c r="R560" s="128">
        <f t="shared" si="51"/>
        <v>0.94999999999999929</v>
      </c>
      <c r="S560" s="98">
        <v>0</v>
      </c>
      <c r="T560" s="99">
        <v>0</v>
      </c>
      <c r="U560" s="99">
        <v>0</v>
      </c>
      <c r="V560" s="99">
        <v>0</v>
      </c>
      <c r="W560" s="99">
        <v>0</v>
      </c>
      <c r="X560" s="73" t="s">
        <v>16</v>
      </c>
      <c r="Y560"/>
    </row>
    <row r="561" spans="1:30" s="73" customFormat="1" ht="15.6" customHeight="1" x14ac:dyDescent="0.3">
      <c r="A561" s="72">
        <v>1817</v>
      </c>
      <c r="B561" s="77">
        <v>-28.4</v>
      </c>
      <c r="C561" s="26">
        <v>-26.3</v>
      </c>
      <c r="D561" s="78">
        <f t="shared" si="53"/>
        <v>-27.6</v>
      </c>
      <c r="E561" s="26">
        <v>-27.1</v>
      </c>
      <c r="F561" s="26">
        <v>-27.7</v>
      </c>
      <c r="G561" s="26">
        <v>-27.5</v>
      </c>
      <c r="J561" s="84" t="s">
        <v>11</v>
      </c>
      <c r="K561" s="76">
        <f t="shared" si="48"/>
        <v>-27.433333333333334</v>
      </c>
      <c r="L561" s="32">
        <v>0.5</v>
      </c>
      <c r="M561" s="32">
        <v>-1.3000000000000007</v>
      </c>
      <c r="N561" s="32">
        <v>2.0999999999999979</v>
      </c>
      <c r="O561" s="32">
        <v>0</v>
      </c>
      <c r="P561" s="128">
        <f t="shared" si="49"/>
        <v>0.79999999999999716</v>
      </c>
      <c r="Q561" s="128">
        <f t="shared" si="50"/>
        <v>-1.3000000000000007</v>
      </c>
      <c r="R561" s="128">
        <f t="shared" si="51"/>
        <v>-0.25</v>
      </c>
      <c r="S561" s="98">
        <v>1</v>
      </c>
      <c r="T561" s="99">
        <v>0</v>
      </c>
      <c r="U561" s="99">
        <v>0</v>
      </c>
      <c r="V561" s="99">
        <v>0</v>
      </c>
      <c r="W561" s="99">
        <v>0</v>
      </c>
      <c r="X561" s="73" t="s">
        <v>16</v>
      </c>
      <c r="Y561"/>
    </row>
    <row r="562" spans="1:30" s="73" customFormat="1" ht="18" customHeight="1" x14ac:dyDescent="0.3">
      <c r="A562" s="72">
        <v>1818</v>
      </c>
      <c r="B562" s="30">
        <v>-29.83</v>
      </c>
      <c r="C562" s="30">
        <v>-29.34</v>
      </c>
      <c r="D562" s="27">
        <f t="shared" si="53"/>
        <v>-28.61</v>
      </c>
      <c r="E562" s="30">
        <v>-29.47</v>
      </c>
      <c r="F562" s="30">
        <v>-28.76</v>
      </c>
      <c r="G562" s="30">
        <v>-28.46</v>
      </c>
      <c r="J562" s="4" t="s">
        <v>18</v>
      </c>
      <c r="K562" s="76">
        <f t="shared" si="48"/>
        <v>-29.078333333333333</v>
      </c>
      <c r="L562" s="32">
        <v>-0.85999999999999943</v>
      </c>
      <c r="M562" s="32">
        <v>0.73000000000000043</v>
      </c>
      <c r="N562" s="32">
        <v>0.48999999999999844</v>
      </c>
      <c r="O562" s="32">
        <v>0.54500000000000171</v>
      </c>
      <c r="P562" s="128">
        <f t="shared" si="49"/>
        <v>0.35999999999999943</v>
      </c>
      <c r="Q562" s="128">
        <f t="shared" si="50"/>
        <v>-0.12999999999999901</v>
      </c>
      <c r="R562" s="128">
        <f t="shared" si="51"/>
        <v>0.11500000000000199</v>
      </c>
      <c r="S562" s="98">
        <v>0</v>
      </c>
      <c r="T562" s="99">
        <v>0</v>
      </c>
      <c r="U562" s="99">
        <v>0</v>
      </c>
      <c r="V562" s="99">
        <v>0</v>
      </c>
      <c r="W562" s="99">
        <v>0</v>
      </c>
      <c r="X562" s="73" t="s">
        <v>16</v>
      </c>
      <c r="Y562"/>
    </row>
    <row r="563" spans="1:30" s="73" customFormat="1" ht="18.600000000000001" customHeight="1" x14ac:dyDescent="0.3">
      <c r="A563" s="72">
        <v>1819</v>
      </c>
      <c r="B563" s="30">
        <v>-29.71</v>
      </c>
      <c r="C563" s="30">
        <v>-29.18</v>
      </c>
      <c r="D563" s="27">
        <f t="shared" si="53"/>
        <v>-29.975000000000001</v>
      </c>
      <c r="E563" s="30">
        <v>-29.55</v>
      </c>
      <c r="F563" s="30">
        <v>-29.93</v>
      </c>
      <c r="G563" s="30">
        <v>-30.02</v>
      </c>
      <c r="J563" s="4" t="s">
        <v>18</v>
      </c>
      <c r="K563" s="76">
        <f t="shared" si="48"/>
        <v>-29.727500000000003</v>
      </c>
      <c r="L563" s="32">
        <v>0.42500000000000071</v>
      </c>
      <c r="M563" s="32">
        <v>-0.79500000000000171</v>
      </c>
      <c r="N563" s="32">
        <v>0.53000000000000114</v>
      </c>
      <c r="O563" s="32">
        <v>-0.31750000000000256</v>
      </c>
      <c r="P563" s="128">
        <f t="shared" si="49"/>
        <v>-0.26500000000000057</v>
      </c>
      <c r="Q563" s="128">
        <f t="shared" si="50"/>
        <v>-0.79500000000000171</v>
      </c>
      <c r="R563" s="128">
        <f t="shared" si="51"/>
        <v>-0.53000000000000114</v>
      </c>
      <c r="S563" s="98">
        <v>1</v>
      </c>
      <c r="T563" s="99">
        <v>0</v>
      </c>
      <c r="U563" s="99">
        <v>0</v>
      </c>
      <c r="V563" s="99">
        <v>0</v>
      </c>
      <c r="W563" s="99">
        <v>0</v>
      </c>
      <c r="X563" s="73" t="s">
        <v>16</v>
      </c>
      <c r="Y563"/>
    </row>
    <row r="564" spans="1:30" s="73" customFormat="1" ht="19.2" customHeight="1" x14ac:dyDescent="0.3">
      <c r="A564" s="72">
        <v>1820</v>
      </c>
      <c r="B564" s="30">
        <v>-29.98</v>
      </c>
      <c r="C564" s="30">
        <v>-30.46</v>
      </c>
      <c r="D564" s="27">
        <f t="shared" si="53"/>
        <v>-29.064999999999998</v>
      </c>
      <c r="E564" s="30">
        <v>-29.01</v>
      </c>
      <c r="F564" s="30">
        <v>-29.27</v>
      </c>
      <c r="G564" s="30">
        <v>-28.86</v>
      </c>
      <c r="J564" s="4" t="s">
        <v>18</v>
      </c>
      <c r="K564" s="76">
        <f t="shared" si="48"/>
        <v>-29.44083333333333</v>
      </c>
      <c r="L564" s="32">
        <v>5.4999999999996163E-2</v>
      </c>
      <c r="M564" s="32">
        <v>1.3950000000000031</v>
      </c>
      <c r="N564" s="32">
        <v>-0.48000000000000043</v>
      </c>
      <c r="O564" s="32">
        <v>1.1824999999999974</v>
      </c>
      <c r="P564" s="128">
        <f t="shared" si="49"/>
        <v>1.3950000000000031</v>
      </c>
      <c r="Q564" s="128">
        <f t="shared" si="50"/>
        <v>0.9150000000000027</v>
      </c>
      <c r="R564" s="128">
        <f t="shared" si="51"/>
        <v>1.1550000000000011</v>
      </c>
      <c r="S564" s="98">
        <v>0</v>
      </c>
      <c r="T564" s="99">
        <v>0</v>
      </c>
      <c r="U564" s="99">
        <v>0</v>
      </c>
      <c r="V564" s="99">
        <v>0</v>
      </c>
      <c r="W564" s="99">
        <v>0</v>
      </c>
      <c r="X564" s="73" t="s">
        <v>16</v>
      </c>
      <c r="Y564"/>
    </row>
    <row r="565" spans="1:30" s="73" customFormat="1" ht="18" customHeight="1" x14ac:dyDescent="0.3">
      <c r="A565" s="72">
        <v>1821</v>
      </c>
      <c r="B565" s="30">
        <v>-29.71</v>
      </c>
      <c r="C565" s="30">
        <v>-28.82</v>
      </c>
      <c r="D565" s="27">
        <v>-28.3</v>
      </c>
      <c r="E565" s="30">
        <v>-28.84</v>
      </c>
      <c r="F565" s="31"/>
      <c r="G565" s="31"/>
      <c r="J565" s="4" t="s">
        <v>18</v>
      </c>
      <c r="K565" s="76">
        <f t="shared" si="48"/>
        <v>-28.9175</v>
      </c>
      <c r="L565" s="32">
        <v>-0.53999999999999915</v>
      </c>
      <c r="M565" s="32">
        <v>0.51999999999999957</v>
      </c>
      <c r="N565" s="32">
        <v>0.89000000000000057</v>
      </c>
      <c r="O565" s="32">
        <v>0.69500000000000028</v>
      </c>
      <c r="P565" s="128">
        <f t="shared" si="49"/>
        <v>0.87000000000000099</v>
      </c>
      <c r="Q565" s="128">
        <f t="shared" si="50"/>
        <v>-1.9999999999999574E-2</v>
      </c>
      <c r="R565" s="128">
        <f t="shared" si="51"/>
        <v>0.42500000000000071</v>
      </c>
      <c r="S565" s="98">
        <v>0</v>
      </c>
      <c r="T565" s="99">
        <v>0</v>
      </c>
      <c r="U565" s="99">
        <v>0</v>
      </c>
      <c r="V565" s="99">
        <v>0</v>
      </c>
      <c r="W565" s="99">
        <v>0</v>
      </c>
      <c r="X565" s="73" t="s">
        <v>16</v>
      </c>
      <c r="Y565"/>
    </row>
    <row r="566" spans="1:30" s="73" customFormat="1" ht="18" customHeight="1" x14ac:dyDescent="0.3">
      <c r="A566" s="72">
        <v>1822</v>
      </c>
      <c r="B566" s="30">
        <v>-30.58</v>
      </c>
      <c r="C566" s="30">
        <v>-29.6</v>
      </c>
      <c r="D566" s="27">
        <f>IF(AND(ISBLANK(F566),ISBLANK(G566)),"",IF(ISBLANK(F566),G566,IF(ISBLANK(G566),F566,(G566+F566)/2)))</f>
        <v>-29.405000000000001</v>
      </c>
      <c r="E566" s="30">
        <v>-30.11</v>
      </c>
      <c r="F566" s="30">
        <v>-29.48</v>
      </c>
      <c r="G566" s="30">
        <v>-29.33</v>
      </c>
      <c r="J566" s="4" t="s">
        <v>18</v>
      </c>
      <c r="K566" s="76">
        <f t="shared" si="48"/>
        <v>-29.750833333333333</v>
      </c>
      <c r="L566" s="32">
        <v>-0.70499999999999829</v>
      </c>
      <c r="M566" s="32">
        <v>0.19500000000000028</v>
      </c>
      <c r="N566" s="32">
        <v>0.97999999999999687</v>
      </c>
      <c r="O566" s="32">
        <v>0.33249999999999957</v>
      </c>
      <c r="P566" s="128">
        <f t="shared" si="49"/>
        <v>0.46999999999999886</v>
      </c>
      <c r="Q566" s="128">
        <f t="shared" si="50"/>
        <v>-0.50999999999999801</v>
      </c>
      <c r="R566" s="128">
        <f t="shared" si="51"/>
        <v>-1.9999999999999574E-2</v>
      </c>
      <c r="S566" s="98">
        <v>0</v>
      </c>
      <c r="T566" s="99">
        <v>0</v>
      </c>
      <c r="U566" s="99">
        <v>0</v>
      </c>
      <c r="V566" s="99">
        <v>0</v>
      </c>
      <c r="W566" s="99">
        <v>0</v>
      </c>
      <c r="X566" s="73" t="s">
        <v>16</v>
      </c>
      <c r="Y566"/>
    </row>
    <row r="567" spans="1:30" s="73" customFormat="1" ht="16.8" customHeight="1" x14ac:dyDescent="0.3">
      <c r="A567" s="72">
        <v>1823</v>
      </c>
      <c r="B567" s="30">
        <v>-28.77</v>
      </c>
      <c r="C567" s="30">
        <v>-28.79</v>
      </c>
      <c r="D567" s="27">
        <v>-29.09</v>
      </c>
      <c r="E567" s="30">
        <v>-28.08</v>
      </c>
      <c r="F567" s="31"/>
      <c r="G567" s="31"/>
      <c r="J567" s="4" t="s">
        <v>18</v>
      </c>
      <c r="K567" s="76">
        <f t="shared" si="48"/>
        <v>-28.682500000000001</v>
      </c>
      <c r="L567" s="32">
        <v>1.0100000000000016</v>
      </c>
      <c r="M567" s="32">
        <v>-0.30000000000000071</v>
      </c>
      <c r="N567" s="32">
        <v>-1.9999999999999574E-2</v>
      </c>
      <c r="O567" s="32">
        <v>0.19500000000000028</v>
      </c>
      <c r="P567" s="128">
        <f t="shared" si="49"/>
        <v>-0.30000000000000071</v>
      </c>
      <c r="Q567" s="128">
        <f t="shared" si="50"/>
        <v>-0.32000000000000028</v>
      </c>
      <c r="R567" s="128">
        <f t="shared" si="51"/>
        <v>-0.30999999999999872</v>
      </c>
      <c r="S567" s="98">
        <v>1</v>
      </c>
      <c r="T567" s="99">
        <v>1</v>
      </c>
      <c r="U567" s="99">
        <v>1</v>
      </c>
      <c r="V567" s="99">
        <v>1</v>
      </c>
      <c r="W567" s="99">
        <v>0</v>
      </c>
      <c r="X567" s="73" t="s">
        <v>16</v>
      </c>
      <c r="Y567"/>
    </row>
    <row r="568" spans="1:30" s="73" customFormat="1" ht="18" customHeight="1" x14ac:dyDescent="0.3">
      <c r="A568" s="72">
        <v>1824</v>
      </c>
      <c r="B568" s="27">
        <v>-30</v>
      </c>
      <c r="C568" s="27">
        <v>-28.5</v>
      </c>
      <c r="D568" s="27">
        <f t="shared" ref="D568:D573" si="54">IF(AND(ISBLANK(F568),ISBLANK(G568)),"",IF(ISBLANK(F568),G568,IF(ISBLANK(G568),F568,(G568+F568)/2)))</f>
        <v>-28</v>
      </c>
      <c r="E568" s="27">
        <v>-29.3</v>
      </c>
      <c r="F568" s="27">
        <v>-28</v>
      </c>
      <c r="G568" s="27">
        <v>-28</v>
      </c>
      <c r="J568" s="4" t="s">
        <v>18</v>
      </c>
      <c r="K568" s="76">
        <f t="shared" si="48"/>
        <v>-28.633333333333336</v>
      </c>
      <c r="L568" s="32">
        <v>-1.3000000000000007</v>
      </c>
      <c r="M568" s="32">
        <v>0.5</v>
      </c>
      <c r="N568" s="32">
        <v>1.5</v>
      </c>
      <c r="O568" s="32">
        <v>0.60000000000000142</v>
      </c>
      <c r="P568" s="128">
        <f t="shared" si="49"/>
        <v>0.69999999999999929</v>
      </c>
      <c r="Q568" s="128">
        <f t="shared" si="50"/>
        <v>-0.80000000000000071</v>
      </c>
      <c r="R568" s="128">
        <f t="shared" si="51"/>
        <v>-5.0000000000000711E-2</v>
      </c>
      <c r="S568" s="98">
        <v>0</v>
      </c>
      <c r="T568" s="99">
        <v>0</v>
      </c>
      <c r="U568" s="99">
        <v>0</v>
      </c>
      <c r="V568" s="99">
        <v>0</v>
      </c>
      <c r="W568" s="99">
        <v>0</v>
      </c>
      <c r="X568" s="73" t="s">
        <v>16</v>
      </c>
      <c r="Y568"/>
    </row>
    <row r="569" spans="1:30" s="73" customFormat="1" ht="16.8" customHeight="1" x14ac:dyDescent="0.3">
      <c r="A569" s="72">
        <v>1825</v>
      </c>
      <c r="B569" s="77">
        <v>-29.7</v>
      </c>
      <c r="C569" s="77">
        <v>-29</v>
      </c>
      <c r="D569" s="76">
        <f t="shared" si="54"/>
        <v>-29</v>
      </c>
      <c r="E569" s="77">
        <v>-29.3</v>
      </c>
      <c r="F569" s="77">
        <v>-28.8</v>
      </c>
      <c r="G569" s="77">
        <v>-29.2</v>
      </c>
      <c r="J569" s="4" t="s">
        <v>18</v>
      </c>
      <c r="K569" s="76">
        <f t="shared" si="48"/>
        <v>-29.166666666666668</v>
      </c>
      <c r="L569" s="32">
        <v>-0.30000000000000071</v>
      </c>
      <c r="M569" s="32">
        <v>0</v>
      </c>
      <c r="N569" s="32">
        <v>0.69999999999999929</v>
      </c>
      <c r="O569" s="32">
        <v>0.20000000000000284</v>
      </c>
      <c r="P569" s="128">
        <f t="shared" si="49"/>
        <v>0.39999999999999858</v>
      </c>
      <c r="Q569" s="128">
        <f t="shared" si="50"/>
        <v>-0.30000000000000071</v>
      </c>
      <c r="R569" s="128">
        <f t="shared" si="51"/>
        <v>5.0000000000000711E-2</v>
      </c>
      <c r="S569" s="98">
        <v>0</v>
      </c>
      <c r="T569" s="99">
        <v>0</v>
      </c>
      <c r="U569" s="99">
        <v>0</v>
      </c>
      <c r="V569" s="99">
        <v>0</v>
      </c>
      <c r="W569" s="99">
        <v>0</v>
      </c>
      <c r="X569" s="73" t="s">
        <v>16</v>
      </c>
      <c r="Y569"/>
    </row>
    <row r="570" spans="1:30" s="73" customFormat="1" ht="19.2" customHeight="1" x14ac:dyDescent="0.3">
      <c r="A570" s="72">
        <v>1826</v>
      </c>
      <c r="B570" s="77">
        <v>-29.5</v>
      </c>
      <c r="C570" s="77">
        <v>-29.3</v>
      </c>
      <c r="D570" s="76">
        <f t="shared" si="54"/>
        <v>-28.85</v>
      </c>
      <c r="E570" s="77">
        <v>-29</v>
      </c>
      <c r="F570" s="77">
        <v>-28.7</v>
      </c>
      <c r="G570" s="77">
        <v>-29</v>
      </c>
      <c r="J570" s="4" t="s">
        <v>18</v>
      </c>
      <c r="K570" s="76">
        <f t="shared" si="48"/>
        <v>-29.058333333333334</v>
      </c>
      <c r="L570" s="32">
        <v>-0.14999999999999858</v>
      </c>
      <c r="M570" s="32">
        <v>0.44999999999999929</v>
      </c>
      <c r="N570" s="32">
        <v>0.19999999999999929</v>
      </c>
      <c r="O570" s="32">
        <v>0.47499999999999787</v>
      </c>
      <c r="P570" s="128">
        <f t="shared" si="49"/>
        <v>0.5</v>
      </c>
      <c r="Q570" s="128">
        <f t="shared" si="50"/>
        <v>0.30000000000000071</v>
      </c>
      <c r="R570" s="128">
        <f t="shared" si="51"/>
        <v>0.39999999999999858</v>
      </c>
      <c r="S570" s="98">
        <v>0</v>
      </c>
      <c r="T570" s="99">
        <v>0</v>
      </c>
      <c r="U570" s="99">
        <v>0</v>
      </c>
      <c r="V570" s="99">
        <v>0</v>
      </c>
      <c r="W570" s="99">
        <v>0</v>
      </c>
      <c r="X570" s="73" t="s">
        <v>16</v>
      </c>
      <c r="Y570"/>
    </row>
    <row r="571" spans="1:30" s="73" customFormat="1" ht="19.2" customHeight="1" x14ac:dyDescent="0.3">
      <c r="A571" s="72">
        <v>1827</v>
      </c>
      <c r="B571" s="77">
        <v>-30</v>
      </c>
      <c r="C571" s="77">
        <v>-29.3</v>
      </c>
      <c r="D571" s="76">
        <f t="shared" si="54"/>
        <v>-29</v>
      </c>
      <c r="E571" s="77">
        <v>-29.4</v>
      </c>
      <c r="F571" s="77">
        <v>-28.9</v>
      </c>
      <c r="G571" s="77">
        <v>-29.1</v>
      </c>
      <c r="J571" s="4" t="s">
        <v>18</v>
      </c>
      <c r="K571" s="76">
        <f t="shared" si="48"/>
        <v>-29.283333333333331</v>
      </c>
      <c r="L571" s="32">
        <v>-0.39999999999999858</v>
      </c>
      <c r="M571" s="32">
        <v>0.30000000000000071</v>
      </c>
      <c r="N571" s="32">
        <v>0.69999999999999929</v>
      </c>
      <c r="O571" s="32">
        <v>0.44999999999999929</v>
      </c>
      <c r="P571" s="128">
        <f t="shared" si="49"/>
        <v>0.60000000000000142</v>
      </c>
      <c r="Q571" s="128">
        <f t="shared" si="50"/>
        <v>-9.9999999999997868E-2</v>
      </c>
      <c r="R571" s="128">
        <f t="shared" si="51"/>
        <v>0.25</v>
      </c>
      <c r="S571" s="98">
        <v>0</v>
      </c>
      <c r="T571" s="99">
        <v>0</v>
      </c>
      <c r="U571" s="99">
        <v>0</v>
      </c>
      <c r="V571" s="99">
        <v>0</v>
      </c>
      <c r="W571" s="99">
        <v>0</v>
      </c>
      <c r="X571" s="73" t="s">
        <v>16</v>
      </c>
      <c r="Y571"/>
    </row>
    <row r="572" spans="1:30" s="73" customFormat="1" ht="19.2" customHeight="1" x14ac:dyDescent="0.3">
      <c r="A572" s="72">
        <v>1828</v>
      </c>
      <c r="B572" s="77">
        <v>-29.8</v>
      </c>
      <c r="C572" s="77">
        <v>-29.1</v>
      </c>
      <c r="D572" s="76">
        <f t="shared" si="54"/>
        <v>-28.95</v>
      </c>
      <c r="E572" s="77">
        <v>-29</v>
      </c>
      <c r="F572" s="77">
        <v>-28.7</v>
      </c>
      <c r="G572" s="77">
        <v>-29.2</v>
      </c>
      <c r="J572" s="4" t="s">
        <v>18</v>
      </c>
      <c r="K572" s="76">
        <f t="shared" si="48"/>
        <v>-29.125</v>
      </c>
      <c r="L572" s="32">
        <v>-5.0000000000000711E-2</v>
      </c>
      <c r="M572" s="32">
        <v>0.15000000000000213</v>
      </c>
      <c r="N572" s="32">
        <v>0.69999999999999929</v>
      </c>
      <c r="O572" s="32">
        <v>0.47500000000000142</v>
      </c>
      <c r="P572" s="128">
        <f t="shared" si="49"/>
        <v>0.80000000000000071</v>
      </c>
      <c r="Q572" s="128">
        <f t="shared" si="50"/>
        <v>0.10000000000000142</v>
      </c>
      <c r="R572" s="128">
        <f t="shared" si="51"/>
        <v>0.45000000000000284</v>
      </c>
      <c r="S572" s="98">
        <v>0</v>
      </c>
      <c r="T572" s="99">
        <v>0</v>
      </c>
      <c r="U572" s="99">
        <v>0</v>
      </c>
      <c r="V572" s="99">
        <v>0</v>
      </c>
      <c r="W572" s="99">
        <v>0</v>
      </c>
      <c r="X572" s="73" t="s">
        <v>16</v>
      </c>
      <c r="Y572"/>
    </row>
    <row r="573" spans="1:30" s="73" customFormat="1" ht="18" customHeight="1" x14ac:dyDescent="0.3">
      <c r="A573" s="72">
        <v>1829</v>
      </c>
      <c r="B573" s="77">
        <v>-29.7</v>
      </c>
      <c r="C573" s="77">
        <v>-28.9</v>
      </c>
      <c r="D573" s="77">
        <f t="shared" si="54"/>
        <v>-29</v>
      </c>
      <c r="E573" s="77">
        <v>-28.9</v>
      </c>
      <c r="F573" s="77">
        <v>-28.8</v>
      </c>
      <c r="G573" s="77">
        <v>-29.2</v>
      </c>
      <c r="J573" s="4" t="s">
        <v>18</v>
      </c>
      <c r="K573" s="76">
        <f t="shared" si="48"/>
        <v>-29.083333333333332</v>
      </c>
      <c r="L573" s="32">
        <v>0.10000000000000142</v>
      </c>
      <c r="M573" s="32">
        <v>-0.10000000000000142</v>
      </c>
      <c r="N573" s="32">
        <v>0.80000000000000071</v>
      </c>
      <c r="O573" s="32">
        <v>0.34999999999999787</v>
      </c>
      <c r="P573" s="128">
        <f t="shared" si="49"/>
        <v>0.69999999999999929</v>
      </c>
      <c r="Q573" s="128">
        <f t="shared" si="50"/>
        <v>-0.10000000000000142</v>
      </c>
      <c r="R573" s="128">
        <f t="shared" si="51"/>
        <v>0.29999999999999716</v>
      </c>
      <c r="S573" s="98">
        <v>0</v>
      </c>
      <c r="T573" s="99">
        <v>0</v>
      </c>
      <c r="U573" s="99">
        <v>0</v>
      </c>
      <c r="V573" s="99">
        <v>0</v>
      </c>
      <c r="W573" s="99">
        <v>0</v>
      </c>
      <c r="X573" s="73" t="s">
        <v>16</v>
      </c>
      <c r="Y573"/>
    </row>
    <row r="574" spans="1:30" x14ac:dyDescent="0.3">
      <c r="A574" s="4">
        <v>1830</v>
      </c>
      <c r="B574" s="29">
        <v>-30.675412045747809</v>
      </c>
      <c r="C574" s="29">
        <v>-29.308032809844249</v>
      </c>
      <c r="D574" s="29">
        <v>-29.139411998903689</v>
      </c>
      <c r="E574" s="29">
        <v>-30.167884727255498</v>
      </c>
      <c r="F574" s="34"/>
      <c r="G574" s="34"/>
      <c r="J574" s="4" t="s">
        <v>18</v>
      </c>
      <c r="K574" s="32">
        <f t="shared" si="48"/>
        <v>-29.822685395437812</v>
      </c>
      <c r="L574" s="32">
        <v>-1.028472728351808</v>
      </c>
      <c r="M574" s="32">
        <v>0.16862081094055981</v>
      </c>
      <c r="N574" s="32">
        <v>1.3673792359035595</v>
      </c>
      <c r="O574" s="32">
        <v>0.33807406471643375</v>
      </c>
      <c r="P574" s="128">
        <f t="shared" si="49"/>
        <v>0.50752731849231125</v>
      </c>
      <c r="Q574" s="128">
        <f t="shared" si="50"/>
        <v>-0.85985191741124822</v>
      </c>
      <c r="R574" s="128">
        <f t="shared" si="51"/>
        <v>-0.17616229945947026</v>
      </c>
      <c r="S574" s="98">
        <v>0</v>
      </c>
      <c r="T574" s="99">
        <v>0</v>
      </c>
      <c r="U574" s="99">
        <v>0</v>
      </c>
      <c r="V574" s="99">
        <v>0</v>
      </c>
      <c r="W574" s="99">
        <v>0</v>
      </c>
      <c r="X574" s="73" t="s">
        <v>16</v>
      </c>
      <c r="AC574"/>
      <c r="AD574"/>
    </row>
    <row r="575" spans="1:30" x14ac:dyDescent="0.3">
      <c r="A575" s="4">
        <v>1831</v>
      </c>
      <c r="B575" s="29">
        <v>-30.328866490256182</v>
      </c>
      <c r="C575" s="29">
        <v>-29.601731419056581</v>
      </c>
      <c r="D575" s="29">
        <v>-28.663892493002813</v>
      </c>
      <c r="E575" s="29">
        <v>-28.884003965293516</v>
      </c>
      <c r="F575" s="28"/>
      <c r="G575" s="28"/>
      <c r="J575" s="4" t="s">
        <v>18</v>
      </c>
      <c r="K575" s="32">
        <f t="shared" si="48"/>
        <v>-29.369623591902275</v>
      </c>
      <c r="L575" s="32">
        <v>-0.2201114722907036</v>
      </c>
      <c r="M575" s="32">
        <v>0.93783892605376806</v>
      </c>
      <c r="N575" s="32">
        <v>0.72713507119960141</v>
      </c>
      <c r="O575" s="32">
        <v>1.1913507255082187</v>
      </c>
      <c r="P575" s="128">
        <f t="shared" si="49"/>
        <v>1.4448625249626659</v>
      </c>
      <c r="Q575" s="128">
        <f t="shared" si="50"/>
        <v>0.71772745376306446</v>
      </c>
      <c r="R575" s="128">
        <f t="shared" si="51"/>
        <v>1.0812949893628669</v>
      </c>
      <c r="S575" s="98">
        <v>0</v>
      </c>
      <c r="T575" s="99">
        <v>0</v>
      </c>
      <c r="U575" s="99">
        <v>0</v>
      </c>
      <c r="V575" s="99">
        <v>0</v>
      </c>
      <c r="W575" s="99">
        <v>0</v>
      </c>
      <c r="X575" s="73" t="s">
        <v>16</v>
      </c>
      <c r="AC575"/>
      <c r="AD575"/>
    </row>
    <row r="576" spans="1:30" x14ac:dyDescent="0.3">
      <c r="A576" s="4">
        <v>1832</v>
      </c>
      <c r="B576" s="29">
        <v>-29.665182820783365</v>
      </c>
      <c r="C576" s="29">
        <v>-29.53572424833154</v>
      </c>
      <c r="D576" s="29">
        <v>-29.395710257227115</v>
      </c>
      <c r="E576" s="29">
        <v>-28.903034311116102</v>
      </c>
      <c r="F576" s="28"/>
      <c r="G576" s="28"/>
      <c r="J576" s="4" t="s">
        <v>18</v>
      </c>
      <c r="K576" s="32">
        <f t="shared" si="48"/>
        <v>-29.374912909364532</v>
      </c>
      <c r="L576" s="32">
        <v>0.49267594611101373</v>
      </c>
      <c r="M576" s="32">
        <v>0.14001399110442492</v>
      </c>
      <c r="N576" s="32">
        <v>0.12945857245182424</v>
      </c>
      <c r="O576" s="32">
        <v>0.4510812503858439</v>
      </c>
      <c r="P576" s="128">
        <f t="shared" si="49"/>
        <v>0.26947256355624916</v>
      </c>
      <c r="Q576" s="128">
        <f t="shared" si="50"/>
        <v>0.14001399110442492</v>
      </c>
      <c r="R576" s="128">
        <f t="shared" si="51"/>
        <v>0.20474327733033704</v>
      </c>
      <c r="S576" s="98">
        <v>0</v>
      </c>
      <c r="T576" s="99">
        <v>0</v>
      </c>
      <c r="U576" s="99">
        <v>0</v>
      </c>
      <c r="V576" s="99">
        <v>0</v>
      </c>
      <c r="W576" s="99">
        <v>0</v>
      </c>
      <c r="X576" s="73" t="s">
        <v>16</v>
      </c>
      <c r="AC576"/>
      <c r="AD576"/>
    </row>
    <row r="577" spans="1:30" x14ac:dyDescent="0.3">
      <c r="A577" s="4">
        <v>1833</v>
      </c>
      <c r="B577" s="29">
        <v>-30.020970048345568</v>
      </c>
      <c r="C577" s="29">
        <v>-29.234009877584143</v>
      </c>
      <c r="D577" s="29">
        <v>-29.002810283299098</v>
      </c>
      <c r="E577" s="29">
        <v>-28.67053004650775</v>
      </c>
      <c r="F577" s="28"/>
      <c r="G577" s="28"/>
      <c r="J577" s="4" t="s">
        <v>18</v>
      </c>
      <c r="K577" s="32">
        <f t="shared" si="48"/>
        <v>-29.232080063934138</v>
      </c>
      <c r="L577" s="32">
        <v>0.33228023679134822</v>
      </c>
      <c r="M577" s="32">
        <v>0.23119959428504444</v>
      </c>
      <c r="N577" s="32">
        <v>0.7869601707614251</v>
      </c>
      <c r="O577" s="32">
        <v>0.7908197980614311</v>
      </c>
      <c r="P577" s="128">
        <f t="shared" si="49"/>
        <v>1.0181597650464695</v>
      </c>
      <c r="Q577" s="128">
        <f t="shared" si="50"/>
        <v>0.23119959428504444</v>
      </c>
      <c r="R577" s="128">
        <f t="shared" si="51"/>
        <v>0.62467967966575699</v>
      </c>
      <c r="S577" s="98">
        <v>0</v>
      </c>
      <c r="T577" s="99">
        <v>0</v>
      </c>
      <c r="U577" s="99">
        <v>0</v>
      </c>
      <c r="V577" s="99">
        <v>0</v>
      </c>
      <c r="W577" s="99">
        <v>0</v>
      </c>
      <c r="X577" s="73" t="s">
        <v>16</v>
      </c>
      <c r="AC577"/>
      <c r="AD577"/>
    </row>
    <row r="578" spans="1:30" x14ac:dyDescent="0.3">
      <c r="A578" s="4">
        <v>1834</v>
      </c>
      <c r="B578" s="29">
        <v>-29.853629229692253</v>
      </c>
      <c r="C578" s="29">
        <v>-30.104297715788043</v>
      </c>
      <c r="D578" s="29">
        <v>-29.877262665870205</v>
      </c>
      <c r="E578" s="29">
        <v>-30.301334360783322</v>
      </c>
      <c r="F578" s="28"/>
      <c r="G578" s="28"/>
      <c r="J578" s="4" t="s">
        <v>18</v>
      </c>
      <c r="K578" s="32">
        <f t="shared" ref="K578:K642" si="55">AVERAGE(B578:G578)</f>
        <v>-30.034130993033457</v>
      </c>
      <c r="L578" s="32">
        <v>-0.42407169491311691</v>
      </c>
      <c r="M578" s="32">
        <v>0.22703504991783774</v>
      </c>
      <c r="N578" s="32">
        <v>-0.2506684860957904</v>
      </c>
      <c r="O578" s="32">
        <v>-0.11033504058661592</v>
      </c>
      <c r="P578" s="128">
        <f t="shared" si="49"/>
        <v>-0.19703664499527918</v>
      </c>
      <c r="Q578" s="128">
        <f t="shared" si="50"/>
        <v>-0.44770513109106957</v>
      </c>
      <c r="R578" s="128">
        <f t="shared" si="51"/>
        <v>-0.32237088804317438</v>
      </c>
      <c r="S578" s="98">
        <v>0</v>
      </c>
      <c r="T578" s="99">
        <v>1</v>
      </c>
      <c r="U578" s="99">
        <v>1</v>
      </c>
      <c r="V578" s="99">
        <v>1</v>
      </c>
      <c r="W578" s="99">
        <v>0</v>
      </c>
      <c r="X578" s="73" t="s">
        <v>16</v>
      </c>
      <c r="AC578"/>
      <c r="AD578"/>
    </row>
    <row r="579" spans="1:30" x14ac:dyDescent="0.3">
      <c r="A579" s="4">
        <v>1835</v>
      </c>
      <c r="B579" s="29">
        <v>-29.293946884443159</v>
      </c>
      <c r="C579" s="29">
        <v>-28.015094204812719</v>
      </c>
      <c r="D579" s="29">
        <v>-26.852205397195998</v>
      </c>
      <c r="E579" s="29">
        <v>-26.168368010975819</v>
      </c>
      <c r="F579" s="28"/>
      <c r="G579" s="28"/>
      <c r="J579" s="85" t="s">
        <v>11</v>
      </c>
      <c r="K579" s="32">
        <f t="shared" si="55"/>
        <v>-27.582403624356921</v>
      </c>
      <c r="L579" s="32">
        <v>0.68383738622017987</v>
      </c>
      <c r="M579" s="32">
        <v>1.1628888076167208</v>
      </c>
      <c r="N579" s="32">
        <v>1.2788526796304396</v>
      </c>
      <c r="O579" s="32">
        <v>2.1442338405420323</v>
      </c>
      <c r="P579" s="128">
        <f t="shared" ref="P579:P642" si="56">IF(OR(E579="", D579="", B579="", C579=""), "", MIN(E579,D579)-MIN(B579,C579))</f>
        <v>2.4417414872471603</v>
      </c>
      <c r="Q579" s="128">
        <f t="shared" ref="Q579:Q642" si="57">IF(OR(E579="", D579="", B579="", C579=""), "", MIN(E579,D579)-MAX(B579,C579))</f>
        <v>1.1628888076167208</v>
      </c>
      <c r="R579" s="128">
        <f t="shared" ref="R579:R642" si="58">IF(OR(E579="", D579="", B579="", C579=""), "", MIN(E579,D579)-AVERAGE(B579,C579))</f>
        <v>1.8023151474319405</v>
      </c>
      <c r="S579" s="98">
        <v>0</v>
      </c>
      <c r="T579" s="99">
        <v>0</v>
      </c>
      <c r="U579" s="99">
        <v>0</v>
      </c>
      <c r="V579" s="99">
        <v>0</v>
      </c>
      <c r="W579" s="99">
        <v>1</v>
      </c>
      <c r="X579" s="73" t="s">
        <v>16</v>
      </c>
      <c r="AC579"/>
      <c r="AD579"/>
    </row>
    <row r="580" spans="1:30" x14ac:dyDescent="0.3">
      <c r="A580" s="4">
        <v>1836</v>
      </c>
      <c r="B580" s="29">
        <v>-30.766702605777681</v>
      </c>
      <c r="C580" s="29">
        <v>-30.278508976657072</v>
      </c>
      <c r="D580" s="29">
        <v>-30.122160726345228</v>
      </c>
      <c r="E580" s="29">
        <v>-30.316678432323727</v>
      </c>
      <c r="F580" s="28"/>
      <c r="G580" s="28"/>
      <c r="J580" s="4" t="s">
        <v>18</v>
      </c>
      <c r="K580" s="32">
        <f t="shared" si="55"/>
        <v>-30.371012685275929</v>
      </c>
      <c r="L580" s="32">
        <v>-0.19451770597849816</v>
      </c>
      <c r="M580" s="32">
        <v>0.15634825031184363</v>
      </c>
      <c r="N580" s="32">
        <v>0.48819362912060882</v>
      </c>
      <c r="O580" s="32">
        <v>0.30318621188289896</v>
      </c>
      <c r="P580" s="128">
        <f t="shared" si="56"/>
        <v>0.45002417345395429</v>
      </c>
      <c r="Q580" s="128">
        <f t="shared" si="57"/>
        <v>-3.8169455666654528E-2</v>
      </c>
      <c r="R580" s="128">
        <f t="shared" si="58"/>
        <v>0.20592735889364988</v>
      </c>
      <c r="S580" s="98">
        <v>0</v>
      </c>
      <c r="T580" s="99">
        <v>0</v>
      </c>
      <c r="U580" s="99">
        <v>0</v>
      </c>
      <c r="V580" s="99">
        <v>0</v>
      </c>
      <c r="W580" s="99">
        <v>0</v>
      </c>
      <c r="X580" s="73" t="s">
        <v>16</v>
      </c>
      <c r="AC580"/>
      <c r="AD580"/>
    </row>
    <row r="581" spans="1:30" x14ac:dyDescent="0.3">
      <c r="A581" s="4">
        <v>1837</v>
      </c>
      <c r="B581" s="29">
        <v>-30.655579987788659</v>
      </c>
      <c r="C581" s="29">
        <v>-30.034410412282668</v>
      </c>
      <c r="D581" s="29">
        <v>-29.869774559410477</v>
      </c>
      <c r="E581" s="29">
        <v>-29.501009169098431</v>
      </c>
      <c r="F581" s="28"/>
      <c r="G581" s="28"/>
      <c r="J581" s="4" t="s">
        <v>18</v>
      </c>
      <c r="K581" s="32">
        <f t="shared" si="55"/>
        <v>-30.015193532145055</v>
      </c>
      <c r="L581" s="32">
        <v>0.36876539031204558</v>
      </c>
      <c r="M581" s="32">
        <v>0.16463585287219118</v>
      </c>
      <c r="N581" s="32">
        <v>0.62116957550599139</v>
      </c>
      <c r="O581" s="32">
        <v>0.65960333578120611</v>
      </c>
      <c r="P581" s="128">
        <f t="shared" si="56"/>
        <v>0.78580542837818257</v>
      </c>
      <c r="Q581" s="128">
        <f t="shared" si="57"/>
        <v>0.16463585287219118</v>
      </c>
      <c r="R581" s="128">
        <f t="shared" si="58"/>
        <v>0.4752206406251851</v>
      </c>
      <c r="S581" s="98">
        <v>0</v>
      </c>
      <c r="T581" s="99">
        <v>0</v>
      </c>
      <c r="U581" s="99">
        <v>0</v>
      </c>
      <c r="V581" s="99">
        <v>0</v>
      </c>
      <c r="W581" s="99">
        <v>0</v>
      </c>
      <c r="X581" s="73" t="s">
        <v>16</v>
      </c>
      <c r="AC581"/>
      <c r="AD581"/>
    </row>
    <row r="582" spans="1:30" x14ac:dyDescent="0.3">
      <c r="A582" s="4">
        <v>1838</v>
      </c>
      <c r="B582" s="29">
        <v>-29.32670560988041</v>
      </c>
      <c r="C582" s="29">
        <v>-27.056423844536589</v>
      </c>
      <c r="D582" s="29">
        <v>-27.011898042356297</v>
      </c>
      <c r="E582" s="29">
        <v>-27.048227390925533</v>
      </c>
      <c r="F582" s="28"/>
      <c r="G582" s="28"/>
      <c r="J582" s="85" t="s">
        <v>11</v>
      </c>
      <c r="K582" s="32">
        <f t="shared" si="55"/>
        <v>-27.610813721924707</v>
      </c>
      <c r="L582" s="32">
        <v>-3.6329348569235975E-2</v>
      </c>
      <c r="M582" s="32">
        <v>4.4525802180292118E-2</v>
      </c>
      <c r="N582" s="32">
        <v>2.270281765343821</v>
      </c>
      <c r="O582" s="32">
        <v>1.1615020105675882</v>
      </c>
      <c r="P582" s="128">
        <f t="shared" si="56"/>
        <v>2.2784782189548771</v>
      </c>
      <c r="Q582" s="128">
        <f t="shared" si="57"/>
        <v>8.1964536110561426E-3</v>
      </c>
      <c r="R582" s="128">
        <f t="shared" si="58"/>
        <v>1.1433373362829684</v>
      </c>
      <c r="S582" s="98">
        <v>0</v>
      </c>
      <c r="T582" s="99">
        <v>0</v>
      </c>
      <c r="U582" s="99">
        <v>0</v>
      </c>
      <c r="V582" s="99">
        <v>0</v>
      </c>
      <c r="W582" s="99">
        <v>1</v>
      </c>
      <c r="X582" s="73" t="s">
        <v>16</v>
      </c>
      <c r="AC582"/>
      <c r="AD582"/>
    </row>
    <row r="583" spans="1:30" x14ac:dyDescent="0.3">
      <c r="A583" s="4">
        <v>1839</v>
      </c>
      <c r="B583" s="29">
        <v>-29.352315166382603</v>
      </c>
      <c r="C583" s="29">
        <v>-28.992084098765357</v>
      </c>
      <c r="D583" s="29">
        <v>-29.881477536579432</v>
      </c>
      <c r="E583" s="29">
        <v>-29.286282110127168</v>
      </c>
      <c r="F583" s="28"/>
      <c r="G583" s="28"/>
      <c r="J583" s="4" t="s">
        <v>18</v>
      </c>
      <c r="K583" s="32">
        <f t="shared" si="55"/>
        <v>-29.378039727963639</v>
      </c>
      <c r="L583" s="32">
        <v>0.59519542645226409</v>
      </c>
      <c r="M583" s="32">
        <v>-0.88939343781407487</v>
      </c>
      <c r="N583" s="32">
        <v>0.36023106761724577</v>
      </c>
      <c r="O583" s="32">
        <v>-0.41168019077932172</v>
      </c>
      <c r="P583" s="128">
        <f t="shared" si="56"/>
        <v>-0.5291623701968291</v>
      </c>
      <c r="Q583" s="128">
        <f t="shared" si="57"/>
        <v>-0.88939343781407487</v>
      </c>
      <c r="R583" s="128">
        <f t="shared" si="58"/>
        <v>-0.70927790400545376</v>
      </c>
      <c r="S583" s="98">
        <v>1</v>
      </c>
      <c r="T583" s="99">
        <v>0</v>
      </c>
      <c r="U583" s="99">
        <v>0</v>
      </c>
      <c r="V583" s="99">
        <v>0</v>
      </c>
      <c r="W583" s="99">
        <v>0</v>
      </c>
      <c r="X583" s="73" t="s">
        <v>16</v>
      </c>
      <c r="AC583"/>
      <c r="AD583"/>
    </row>
    <row r="584" spans="1:30" x14ac:dyDescent="0.3">
      <c r="A584" s="4">
        <v>1840</v>
      </c>
      <c r="B584" s="29">
        <v>-29.304021396043932</v>
      </c>
      <c r="C584" s="29">
        <v>-28.017185962949952</v>
      </c>
      <c r="D584" s="29">
        <v>-28.910050234295824</v>
      </c>
      <c r="E584" s="29">
        <v>-28.928111527352641</v>
      </c>
      <c r="F584" s="28"/>
      <c r="G584" s="28"/>
      <c r="J584" s="4" t="s">
        <v>18</v>
      </c>
      <c r="K584" s="32">
        <f t="shared" si="55"/>
        <v>-28.789842280160588</v>
      </c>
      <c r="L584" s="32">
        <v>-1.8061293056817362E-2</v>
      </c>
      <c r="M584" s="32">
        <v>-0.89286427134587143</v>
      </c>
      <c r="N584" s="32">
        <v>1.2868354330939802</v>
      </c>
      <c r="O584" s="32">
        <v>-0.25847720132728824</v>
      </c>
      <c r="P584" s="128">
        <f t="shared" si="56"/>
        <v>0.37590986869129139</v>
      </c>
      <c r="Q584" s="128">
        <f t="shared" si="57"/>
        <v>-0.91092556440268879</v>
      </c>
      <c r="R584" s="128">
        <f t="shared" si="58"/>
        <v>-0.26750784785569692</v>
      </c>
      <c r="S584" s="98">
        <v>0</v>
      </c>
      <c r="T584" s="99">
        <v>0</v>
      </c>
      <c r="U584" s="99">
        <v>0</v>
      </c>
      <c r="V584" s="99">
        <v>0</v>
      </c>
      <c r="W584" s="99">
        <v>0</v>
      </c>
      <c r="X584" s="73" t="s">
        <v>16</v>
      </c>
      <c r="AC584"/>
      <c r="AD584"/>
    </row>
    <row r="585" spans="1:30" x14ac:dyDescent="0.3">
      <c r="A585" s="4">
        <v>1841</v>
      </c>
      <c r="B585" s="29">
        <v>-29.888735318841512</v>
      </c>
      <c r="C585" s="29">
        <v>-28.338139677855267</v>
      </c>
      <c r="D585" s="29">
        <v>-28.877211181371401</v>
      </c>
      <c r="E585" s="29">
        <v>-28.492194874024527</v>
      </c>
      <c r="F585" s="29"/>
      <c r="G585" s="29"/>
      <c r="J585" s="4" t="s">
        <v>18</v>
      </c>
      <c r="K585" s="32">
        <f t="shared" si="55"/>
        <v>-28.899070263023177</v>
      </c>
      <c r="L585" s="32">
        <v>0.38501630734687353</v>
      </c>
      <c r="M585" s="32">
        <v>-0.53907150351613353</v>
      </c>
      <c r="N585" s="32">
        <v>1.5505956409862449</v>
      </c>
      <c r="O585" s="32">
        <v>0.42873447065042569</v>
      </c>
      <c r="P585" s="128">
        <f t="shared" si="56"/>
        <v>1.0115241374701114</v>
      </c>
      <c r="Q585" s="128">
        <f t="shared" si="57"/>
        <v>-0.53907150351613353</v>
      </c>
      <c r="R585" s="128">
        <f t="shared" si="58"/>
        <v>0.23622631697698893</v>
      </c>
      <c r="S585" s="98">
        <v>1</v>
      </c>
      <c r="T585" s="99">
        <v>0</v>
      </c>
      <c r="U585" s="99">
        <v>0</v>
      </c>
      <c r="V585" s="99">
        <v>0</v>
      </c>
      <c r="W585" s="99">
        <v>0</v>
      </c>
      <c r="X585" s="73" t="s">
        <v>16</v>
      </c>
      <c r="AC585"/>
      <c r="AD585"/>
    </row>
    <row r="586" spans="1:30" x14ac:dyDescent="0.3">
      <c r="A586" s="4">
        <v>1842</v>
      </c>
      <c r="B586">
        <v>-30.6</v>
      </c>
      <c r="C586">
        <v>-29.9</v>
      </c>
      <c r="D586">
        <v>-29.7</v>
      </c>
      <c r="E586">
        <v>-29.2</v>
      </c>
      <c r="J586" s="4" t="s">
        <v>18</v>
      </c>
      <c r="K586" s="32">
        <f t="shared" si="55"/>
        <v>-29.85</v>
      </c>
      <c r="L586" s="32">
        <v>0.5</v>
      </c>
      <c r="M586" s="32">
        <v>0.19999999999999929</v>
      </c>
      <c r="N586" s="32">
        <v>0.70000000000000284</v>
      </c>
      <c r="O586" s="32">
        <v>0.80000000000000071</v>
      </c>
      <c r="P586" s="128">
        <f t="shared" si="56"/>
        <v>0.90000000000000213</v>
      </c>
      <c r="Q586" s="128">
        <f t="shared" si="57"/>
        <v>0.19999999999999929</v>
      </c>
      <c r="R586" s="128">
        <f t="shared" si="58"/>
        <v>0.55000000000000071</v>
      </c>
      <c r="S586" s="98">
        <v>0</v>
      </c>
      <c r="T586" s="99">
        <v>0</v>
      </c>
      <c r="U586" s="99">
        <v>0</v>
      </c>
      <c r="V586" s="99">
        <v>0</v>
      </c>
      <c r="W586" s="99">
        <v>0</v>
      </c>
      <c r="X586" s="73" t="s">
        <v>16</v>
      </c>
      <c r="AC586"/>
      <c r="AD586"/>
    </row>
    <row r="587" spans="1:30" x14ac:dyDescent="0.3">
      <c r="A587" s="4">
        <v>1843</v>
      </c>
      <c r="B587">
        <v>-30.1</v>
      </c>
      <c r="C587">
        <v>-29.4</v>
      </c>
      <c r="D587">
        <v>-29</v>
      </c>
      <c r="E587">
        <v>-28.5</v>
      </c>
      <c r="J587" s="4" t="s">
        <v>18</v>
      </c>
      <c r="K587" s="32">
        <f t="shared" si="55"/>
        <v>-29.25</v>
      </c>
      <c r="L587" s="32">
        <v>0.5</v>
      </c>
      <c r="M587" s="32">
        <v>0.39999999999999858</v>
      </c>
      <c r="N587" s="32">
        <v>0.70000000000000284</v>
      </c>
      <c r="O587" s="32">
        <v>1</v>
      </c>
      <c r="P587" s="128">
        <f t="shared" si="56"/>
        <v>1.1000000000000014</v>
      </c>
      <c r="Q587" s="128">
        <f t="shared" si="57"/>
        <v>0.39999999999999858</v>
      </c>
      <c r="R587" s="128">
        <f t="shared" si="58"/>
        <v>0.75</v>
      </c>
      <c r="S587" s="98">
        <v>0</v>
      </c>
      <c r="T587" s="99">
        <v>0</v>
      </c>
      <c r="U587" s="99">
        <v>0</v>
      </c>
      <c r="V587" s="99">
        <v>0</v>
      </c>
      <c r="W587" s="99">
        <v>0</v>
      </c>
      <c r="X587" s="73" t="s">
        <v>16</v>
      </c>
      <c r="AC587"/>
      <c r="AD587"/>
    </row>
    <row r="588" spans="1:30" x14ac:dyDescent="0.3">
      <c r="A588" s="4">
        <v>1844</v>
      </c>
      <c r="B588">
        <v>-28.9</v>
      </c>
      <c r="C588">
        <v>-28.3</v>
      </c>
      <c r="D588">
        <v>-28</v>
      </c>
      <c r="E588">
        <v>-27.5</v>
      </c>
      <c r="J588" s="85" t="s">
        <v>11</v>
      </c>
      <c r="K588" s="32">
        <f t="shared" si="55"/>
        <v>-28.175000000000001</v>
      </c>
      <c r="L588" s="32">
        <v>0.5</v>
      </c>
      <c r="M588" s="32">
        <v>0.30000000000000071</v>
      </c>
      <c r="N588" s="32">
        <v>0.59999999999999787</v>
      </c>
      <c r="O588" s="32">
        <v>0.85000000000000142</v>
      </c>
      <c r="P588" s="128">
        <f t="shared" si="56"/>
        <v>0.89999999999999858</v>
      </c>
      <c r="Q588" s="128">
        <f t="shared" si="57"/>
        <v>0.30000000000000071</v>
      </c>
      <c r="R588" s="128">
        <f t="shared" si="58"/>
        <v>0.60000000000000142</v>
      </c>
      <c r="S588" s="98">
        <v>0</v>
      </c>
      <c r="T588" s="99">
        <v>0</v>
      </c>
      <c r="U588" s="99">
        <v>0</v>
      </c>
      <c r="V588" s="99">
        <v>0</v>
      </c>
      <c r="W588" s="99">
        <v>0</v>
      </c>
      <c r="X588" s="73" t="s">
        <v>16</v>
      </c>
      <c r="AC588"/>
      <c r="AD588"/>
    </row>
    <row r="589" spans="1:30" x14ac:dyDescent="0.3">
      <c r="A589" s="4">
        <v>1845</v>
      </c>
      <c r="B589">
        <v>-29</v>
      </c>
      <c r="C589">
        <v>-28.7</v>
      </c>
      <c r="D589">
        <v>-28.1</v>
      </c>
      <c r="E589">
        <v>-27.8</v>
      </c>
      <c r="J589" s="85" t="s">
        <v>11</v>
      </c>
      <c r="K589" s="32">
        <f t="shared" si="55"/>
        <v>-28.400000000000002</v>
      </c>
      <c r="L589" s="32">
        <v>0.30000000000000071</v>
      </c>
      <c r="M589" s="32">
        <v>0.59999999999999787</v>
      </c>
      <c r="N589" s="32">
        <v>0.30000000000000071</v>
      </c>
      <c r="O589" s="32">
        <v>0.89999999999999858</v>
      </c>
      <c r="P589" s="128">
        <f t="shared" si="56"/>
        <v>0.89999999999999858</v>
      </c>
      <c r="Q589" s="128">
        <f t="shared" si="57"/>
        <v>0.59999999999999787</v>
      </c>
      <c r="R589" s="128">
        <f t="shared" si="58"/>
        <v>0.75</v>
      </c>
      <c r="S589" s="98">
        <v>0</v>
      </c>
      <c r="T589" s="99">
        <v>0</v>
      </c>
      <c r="U589" s="99">
        <v>0</v>
      </c>
      <c r="V589" s="99">
        <v>0</v>
      </c>
      <c r="W589" s="99">
        <v>0</v>
      </c>
      <c r="X589" s="73" t="s">
        <v>16</v>
      </c>
      <c r="AC589"/>
      <c r="AD589"/>
    </row>
    <row r="590" spans="1:30" x14ac:dyDescent="0.3">
      <c r="A590" s="4">
        <v>1846</v>
      </c>
      <c r="B590">
        <v>-30.2</v>
      </c>
      <c r="C590">
        <v>-30.7</v>
      </c>
      <c r="D590">
        <v>-30.2</v>
      </c>
      <c r="E590">
        <v>-29.9</v>
      </c>
      <c r="J590" s="4" t="s">
        <v>18</v>
      </c>
      <c r="K590" s="32">
        <f t="shared" si="55"/>
        <v>-30.25</v>
      </c>
      <c r="L590" s="32">
        <v>0.30000000000000071</v>
      </c>
      <c r="M590" s="32">
        <v>0.5</v>
      </c>
      <c r="N590" s="32">
        <v>-0.5</v>
      </c>
      <c r="O590" s="32">
        <v>0.40000000000000213</v>
      </c>
      <c r="P590" s="128">
        <f t="shared" si="56"/>
        <v>0.5</v>
      </c>
      <c r="Q590" s="128">
        <f t="shared" si="57"/>
        <v>0</v>
      </c>
      <c r="R590" s="128">
        <f t="shared" si="58"/>
        <v>0.25</v>
      </c>
      <c r="S590" s="98">
        <v>0</v>
      </c>
      <c r="T590" s="99">
        <v>1</v>
      </c>
      <c r="U590" s="99">
        <v>1</v>
      </c>
      <c r="V590" s="99">
        <v>1</v>
      </c>
      <c r="W590" s="99">
        <v>0</v>
      </c>
      <c r="X590" s="73" t="s">
        <v>16</v>
      </c>
      <c r="AC590"/>
      <c r="AD590"/>
    </row>
    <row r="591" spans="1:30" x14ac:dyDescent="0.3">
      <c r="A591" s="4">
        <v>1847</v>
      </c>
      <c r="B591">
        <v>-30.4</v>
      </c>
      <c r="C591">
        <v>-30.9</v>
      </c>
      <c r="D591">
        <v>-30.5</v>
      </c>
      <c r="E591">
        <v>-30</v>
      </c>
      <c r="J591" s="4" t="s">
        <v>18</v>
      </c>
      <c r="K591" s="32">
        <f t="shared" si="55"/>
        <v>-30.45</v>
      </c>
      <c r="L591" s="32">
        <v>0.5</v>
      </c>
      <c r="M591" s="32">
        <v>0.39999999999999858</v>
      </c>
      <c r="N591" s="32">
        <v>-0.5</v>
      </c>
      <c r="O591" s="32">
        <v>0.39999999999999858</v>
      </c>
      <c r="P591" s="128">
        <f t="shared" si="56"/>
        <v>0.39999999999999858</v>
      </c>
      <c r="Q591" s="128">
        <f t="shared" si="57"/>
        <v>-0.10000000000000142</v>
      </c>
      <c r="R591" s="128">
        <f t="shared" si="58"/>
        <v>0.14999999999999858</v>
      </c>
      <c r="S591" s="98">
        <v>0</v>
      </c>
      <c r="T591" s="99">
        <v>1</v>
      </c>
      <c r="U591" s="99">
        <v>1</v>
      </c>
      <c r="V591" s="99">
        <v>1</v>
      </c>
      <c r="W591" s="99">
        <v>0</v>
      </c>
      <c r="X591" s="73" t="s">
        <v>16</v>
      </c>
      <c r="AC591"/>
      <c r="AD591"/>
    </row>
    <row r="592" spans="1:30" x14ac:dyDescent="0.3">
      <c r="A592" s="4">
        <v>1848</v>
      </c>
      <c r="B592" s="35">
        <v>-30.12</v>
      </c>
      <c r="C592" s="35">
        <v>-28.85</v>
      </c>
      <c r="D592">
        <f t="shared" ref="D592:D623" si="59">IF(AND(ISBLANK(F592),ISBLANK(G592)),"",IF(ISBLANK(F592),G592,IF(ISBLANK(G592),F592,(G592+F592)/2)))</f>
        <v>-28.675000000000001</v>
      </c>
      <c r="E592" s="35">
        <v>-28.15</v>
      </c>
      <c r="F592" s="35">
        <v>-28.78</v>
      </c>
      <c r="G592" s="35">
        <v>-28.57</v>
      </c>
      <c r="J592" s="4" t="s">
        <v>18</v>
      </c>
      <c r="K592" s="32">
        <f t="shared" si="55"/>
        <v>-28.857499999999998</v>
      </c>
      <c r="L592" s="32">
        <v>0.52500000000000213</v>
      </c>
      <c r="M592" s="32">
        <v>0.17500000000000071</v>
      </c>
      <c r="N592" s="32">
        <v>1.2699999999999996</v>
      </c>
      <c r="O592" s="32">
        <v>1.072499999999998</v>
      </c>
      <c r="P592" s="128">
        <f t="shared" si="56"/>
        <v>1.4450000000000003</v>
      </c>
      <c r="Q592" s="128">
        <f t="shared" si="57"/>
        <v>0.17500000000000071</v>
      </c>
      <c r="R592" s="128">
        <f t="shared" si="58"/>
        <v>0.80999999999999872</v>
      </c>
      <c r="S592" s="98">
        <v>0</v>
      </c>
      <c r="T592" s="99">
        <v>0</v>
      </c>
      <c r="U592" s="99">
        <v>0</v>
      </c>
      <c r="V592" s="99">
        <v>0</v>
      </c>
      <c r="W592" s="99">
        <v>0</v>
      </c>
      <c r="X592" s="73" t="s">
        <v>16</v>
      </c>
      <c r="AC592"/>
      <c r="AD592"/>
    </row>
    <row r="593" spans="1:30" x14ac:dyDescent="0.3">
      <c r="A593" s="4">
        <v>1849</v>
      </c>
      <c r="B593" s="35">
        <v>-30.69</v>
      </c>
      <c r="C593" s="35">
        <v>-27.89</v>
      </c>
      <c r="D593">
        <f t="shared" si="59"/>
        <v>-27.575000000000003</v>
      </c>
      <c r="E593" s="35">
        <v>-28.91</v>
      </c>
      <c r="F593" s="35">
        <v>-27.19</v>
      </c>
      <c r="G593" s="35">
        <v>-27.96</v>
      </c>
      <c r="J593" s="85" t="s">
        <v>11</v>
      </c>
      <c r="K593" s="32">
        <f t="shared" si="55"/>
        <v>-28.369166666666668</v>
      </c>
      <c r="L593" s="32">
        <v>-1.3349999999999973</v>
      </c>
      <c r="M593" s="32">
        <v>0.31499999999999773</v>
      </c>
      <c r="N593" s="32">
        <v>2.8000000000000007</v>
      </c>
      <c r="O593" s="32">
        <v>1.0474999999999994</v>
      </c>
      <c r="P593" s="128">
        <f t="shared" si="56"/>
        <v>1.7800000000000011</v>
      </c>
      <c r="Q593" s="128">
        <f t="shared" si="57"/>
        <v>-1.0199999999999996</v>
      </c>
      <c r="R593" s="128">
        <f t="shared" si="58"/>
        <v>0.37999999999999901</v>
      </c>
      <c r="S593" s="98">
        <v>0</v>
      </c>
      <c r="T593" s="99">
        <v>0</v>
      </c>
      <c r="U593" s="99">
        <v>0</v>
      </c>
      <c r="V593" s="99">
        <v>0</v>
      </c>
      <c r="W593" s="99">
        <v>1</v>
      </c>
      <c r="X593" s="73" t="s">
        <v>16</v>
      </c>
      <c r="AC593"/>
      <c r="AD593"/>
    </row>
    <row r="594" spans="1:30" x14ac:dyDescent="0.3">
      <c r="A594" s="4">
        <v>1850</v>
      </c>
      <c r="B594" s="35">
        <v>-30.46</v>
      </c>
      <c r="C594" s="35">
        <v>-29.17</v>
      </c>
      <c r="D594">
        <f t="shared" si="59"/>
        <v>-27.494999999999997</v>
      </c>
      <c r="E594" s="35">
        <v>-26.86</v>
      </c>
      <c r="F594" s="35">
        <v>-27.31</v>
      </c>
      <c r="G594" s="35">
        <v>-27.68</v>
      </c>
      <c r="J594" s="85" t="s">
        <v>11</v>
      </c>
      <c r="K594" s="32">
        <f t="shared" si="55"/>
        <v>-28.162499999999998</v>
      </c>
      <c r="L594" s="32">
        <v>0.63499999999999801</v>
      </c>
      <c r="M594" s="32">
        <v>1.6750000000000043</v>
      </c>
      <c r="N594" s="32">
        <v>1.2899999999999991</v>
      </c>
      <c r="O594" s="32">
        <v>2.6375000000000028</v>
      </c>
      <c r="P594" s="128">
        <f t="shared" si="56"/>
        <v>2.9650000000000034</v>
      </c>
      <c r="Q594" s="128">
        <f t="shared" si="57"/>
        <v>1.6750000000000043</v>
      </c>
      <c r="R594" s="128">
        <f t="shared" si="58"/>
        <v>2.3200000000000038</v>
      </c>
      <c r="S594" s="98">
        <v>0</v>
      </c>
      <c r="T594" s="99">
        <v>0</v>
      </c>
      <c r="U594" s="99">
        <v>0</v>
      </c>
      <c r="V594" s="99">
        <v>0</v>
      </c>
      <c r="W594" s="99">
        <v>1</v>
      </c>
      <c r="X594" s="73" t="s">
        <v>16</v>
      </c>
      <c r="AC594"/>
      <c r="AD594"/>
    </row>
    <row r="595" spans="1:30" x14ac:dyDescent="0.3">
      <c r="A595" s="4">
        <v>1851</v>
      </c>
      <c r="B595" s="35">
        <v>-29.58</v>
      </c>
      <c r="C595" s="35">
        <v>-28.78</v>
      </c>
      <c r="D595">
        <f t="shared" si="59"/>
        <v>-28.15</v>
      </c>
      <c r="E595" s="35">
        <v>-28.04</v>
      </c>
      <c r="F595" s="35">
        <v>-28.23</v>
      </c>
      <c r="G595" s="35">
        <v>-28.07</v>
      </c>
      <c r="J595" s="4" t="s">
        <v>18</v>
      </c>
      <c r="K595" s="32">
        <f t="shared" si="55"/>
        <v>-28.474999999999994</v>
      </c>
      <c r="L595" s="32">
        <v>0.10999999999999943</v>
      </c>
      <c r="M595" s="32">
        <v>0.63000000000000256</v>
      </c>
      <c r="N595" s="32">
        <v>0.79999999999999716</v>
      </c>
      <c r="O595" s="32">
        <v>1.0850000000000009</v>
      </c>
      <c r="P595" s="128">
        <f t="shared" si="56"/>
        <v>1.4299999999999997</v>
      </c>
      <c r="Q595" s="128">
        <f t="shared" si="57"/>
        <v>0.63000000000000256</v>
      </c>
      <c r="R595" s="128">
        <f t="shared" si="58"/>
        <v>1.0300000000000011</v>
      </c>
      <c r="S595" s="98">
        <v>0</v>
      </c>
      <c r="T595" s="99">
        <v>0</v>
      </c>
      <c r="U595" s="99">
        <v>0</v>
      </c>
      <c r="V595" s="99">
        <v>0</v>
      </c>
      <c r="W595" s="99">
        <v>0</v>
      </c>
      <c r="X595" s="73" t="s">
        <v>16</v>
      </c>
      <c r="AC595"/>
      <c r="AD595"/>
    </row>
    <row r="596" spans="1:30" x14ac:dyDescent="0.3">
      <c r="A596" s="4">
        <v>1852</v>
      </c>
      <c r="B596" s="35">
        <v>-28.83</v>
      </c>
      <c r="C596" s="35">
        <v>-28.43</v>
      </c>
      <c r="D596">
        <f t="shared" si="59"/>
        <v>-27.935000000000002</v>
      </c>
      <c r="E596" s="35">
        <v>-28.91</v>
      </c>
      <c r="F596" s="35">
        <v>-27.91</v>
      </c>
      <c r="G596" s="35">
        <v>-27.96</v>
      </c>
      <c r="J596" s="4" t="s">
        <v>18</v>
      </c>
      <c r="K596" s="32">
        <f t="shared" si="55"/>
        <v>-28.329166666666666</v>
      </c>
      <c r="L596" s="32">
        <v>-0.97499999999999787</v>
      </c>
      <c r="M596" s="32">
        <v>0.49499999999999744</v>
      </c>
      <c r="N596" s="32">
        <v>0.39999999999999858</v>
      </c>
      <c r="O596" s="32">
        <v>0.20749999999999957</v>
      </c>
      <c r="P596" s="128">
        <f t="shared" si="56"/>
        <v>-8.0000000000001847E-2</v>
      </c>
      <c r="Q596" s="128">
        <f t="shared" si="57"/>
        <v>-0.48000000000000043</v>
      </c>
      <c r="R596" s="128">
        <f t="shared" si="58"/>
        <v>-0.28000000000000114</v>
      </c>
      <c r="S596" s="98">
        <v>0</v>
      </c>
      <c r="T596" s="99">
        <v>0</v>
      </c>
      <c r="U596" s="99">
        <v>0</v>
      </c>
      <c r="V596" s="99">
        <v>0</v>
      </c>
      <c r="W596" s="99">
        <v>0</v>
      </c>
      <c r="X596" s="73" t="s">
        <v>16</v>
      </c>
      <c r="AC596"/>
      <c r="AD596"/>
    </row>
    <row r="597" spans="1:30" x14ac:dyDescent="0.3">
      <c r="A597" s="4">
        <v>1853</v>
      </c>
      <c r="B597" s="35">
        <v>-30.67</v>
      </c>
      <c r="C597" s="35">
        <v>-28.84</v>
      </c>
      <c r="D597">
        <f t="shared" si="59"/>
        <v>-28.03</v>
      </c>
      <c r="E597" s="35">
        <v>-28.98</v>
      </c>
      <c r="F597" s="35">
        <v>-28</v>
      </c>
      <c r="G597" s="35">
        <v>-28.06</v>
      </c>
      <c r="J597" s="4" t="s">
        <v>18</v>
      </c>
      <c r="K597" s="32">
        <f t="shared" si="55"/>
        <v>-28.763333333333335</v>
      </c>
      <c r="L597" s="32">
        <v>-0.94999999999999929</v>
      </c>
      <c r="M597" s="32">
        <v>0.80999999999999872</v>
      </c>
      <c r="N597" s="32">
        <v>1.8300000000000018</v>
      </c>
      <c r="O597" s="32">
        <v>1.25</v>
      </c>
      <c r="P597" s="128">
        <f t="shared" si="56"/>
        <v>1.6900000000000013</v>
      </c>
      <c r="Q597" s="128">
        <f t="shared" si="57"/>
        <v>-0.14000000000000057</v>
      </c>
      <c r="R597" s="128">
        <f t="shared" si="58"/>
        <v>0.77500000000000213</v>
      </c>
      <c r="S597" s="98">
        <v>0</v>
      </c>
      <c r="T597" s="99">
        <v>0</v>
      </c>
      <c r="U597" s="99">
        <v>0</v>
      </c>
      <c r="V597" s="99">
        <v>0</v>
      </c>
      <c r="W597" s="99">
        <v>1</v>
      </c>
      <c r="X597" s="73" t="s">
        <v>16</v>
      </c>
      <c r="AC597"/>
      <c r="AD597"/>
    </row>
    <row r="598" spans="1:30" x14ac:dyDescent="0.3">
      <c r="A598" s="4">
        <v>1854</v>
      </c>
      <c r="B598" s="35">
        <v>-28.13</v>
      </c>
      <c r="C598" s="35">
        <v>-28.13</v>
      </c>
      <c r="D598">
        <f t="shared" si="59"/>
        <v>-27.34</v>
      </c>
      <c r="E598" s="35">
        <v>-26.07</v>
      </c>
      <c r="F598" s="35">
        <v>-27.27</v>
      </c>
      <c r="G598" s="35">
        <v>-27.41</v>
      </c>
      <c r="J598" s="85" t="s">
        <v>11</v>
      </c>
      <c r="K598" s="32">
        <f t="shared" si="55"/>
        <v>-27.391666666666666</v>
      </c>
      <c r="L598" s="32">
        <v>1.2699999999999996</v>
      </c>
      <c r="M598" s="32">
        <v>0.78999999999999915</v>
      </c>
      <c r="N598" s="32">
        <v>0</v>
      </c>
      <c r="O598" s="32">
        <v>1.4250000000000007</v>
      </c>
      <c r="P598" s="128">
        <f t="shared" si="56"/>
        <v>0.78999999999999915</v>
      </c>
      <c r="Q598" s="128">
        <f t="shared" si="57"/>
        <v>0.78999999999999915</v>
      </c>
      <c r="R598" s="128">
        <f t="shared" si="58"/>
        <v>0.78999999999999915</v>
      </c>
      <c r="S598" s="98">
        <v>0</v>
      </c>
      <c r="T598" s="99">
        <v>1</v>
      </c>
      <c r="U598" s="99">
        <v>1</v>
      </c>
      <c r="V598" s="99">
        <v>1</v>
      </c>
      <c r="W598" s="99">
        <v>0</v>
      </c>
      <c r="X598" s="73" t="s">
        <v>16</v>
      </c>
      <c r="AC598"/>
      <c r="AD598"/>
    </row>
    <row r="599" spans="1:30" x14ac:dyDescent="0.3">
      <c r="A599" s="4">
        <v>1855</v>
      </c>
      <c r="B599" s="35">
        <v>-28.02</v>
      </c>
      <c r="C599" s="35">
        <v>-26.1</v>
      </c>
      <c r="D599">
        <f t="shared" si="59"/>
        <v>-26.625</v>
      </c>
      <c r="E599" s="35">
        <v>-24.05</v>
      </c>
      <c r="F599" s="35">
        <v>-26.66</v>
      </c>
      <c r="G599" s="35">
        <v>-26.59</v>
      </c>
      <c r="J599" s="85" t="s">
        <v>11</v>
      </c>
      <c r="K599" s="32">
        <f t="shared" si="55"/>
        <v>-26.340833333333336</v>
      </c>
      <c r="L599" s="32">
        <v>2.5749999999999993</v>
      </c>
      <c r="M599" s="32">
        <v>-0.52499999999999858</v>
      </c>
      <c r="N599" s="32">
        <v>1.9199999999999982</v>
      </c>
      <c r="O599" s="32">
        <v>1.7225000000000037</v>
      </c>
      <c r="P599" s="128">
        <f t="shared" si="56"/>
        <v>1.3949999999999996</v>
      </c>
      <c r="Q599" s="128">
        <f t="shared" si="57"/>
        <v>-0.52499999999999858</v>
      </c>
      <c r="R599" s="128">
        <f t="shared" si="58"/>
        <v>0.43500000000000227</v>
      </c>
      <c r="S599" s="98">
        <v>1</v>
      </c>
      <c r="T599" s="99">
        <v>0</v>
      </c>
      <c r="U599" s="99">
        <v>0</v>
      </c>
      <c r="V599" s="99">
        <v>0</v>
      </c>
      <c r="W599" s="99">
        <v>0</v>
      </c>
      <c r="X599" s="73" t="s">
        <v>16</v>
      </c>
      <c r="AC599"/>
      <c r="AD599"/>
    </row>
    <row r="600" spans="1:30" x14ac:dyDescent="0.3">
      <c r="A600" s="4">
        <v>1856</v>
      </c>
      <c r="B600" s="35">
        <v>-26.64</v>
      </c>
      <c r="C600" s="35">
        <v>-24.05</v>
      </c>
      <c r="D600">
        <f t="shared" si="59"/>
        <v>-23.844999999999999</v>
      </c>
      <c r="E600" s="35">
        <v>-23.74</v>
      </c>
      <c r="F600" s="35">
        <v>-23.75</v>
      </c>
      <c r="G600" s="36">
        <v>-23.94</v>
      </c>
      <c r="J600" s="85" t="s">
        <v>19</v>
      </c>
      <c r="K600" s="32">
        <f t="shared" si="55"/>
        <v>-24.327500000000001</v>
      </c>
      <c r="L600" s="32">
        <v>0.10500000000000043</v>
      </c>
      <c r="M600" s="32">
        <v>0.20500000000000185</v>
      </c>
      <c r="N600" s="32">
        <v>2.59</v>
      </c>
      <c r="O600" s="32">
        <v>1.552500000000002</v>
      </c>
      <c r="P600" s="128">
        <f t="shared" si="56"/>
        <v>2.7950000000000017</v>
      </c>
      <c r="Q600" s="128">
        <f t="shared" si="57"/>
        <v>0.20500000000000185</v>
      </c>
      <c r="R600" s="128">
        <f t="shared" si="58"/>
        <v>1.5</v>
      </c>
      <c r="S600" s="98">
        <v>0</v>
      </c>
      <c r="T600" s="99">
        <v>0</v>
      </c>
      <c r="U600" s="99">
        <v>0</v>
      </c>
      <c r="V600" s="99">
        <v>0</v>
      </c>
      <c r="W600" s="99">
        <v>1</v>
      </c>
      <c r="X600" s="73" t="s">
        <v>16</v>
      </c>
      <c r="AC600"/>
      <c r="AD600"/>
    </row>
    <row r="601" spans="1:30" x14ac:dyDescent="0.3">
      <c r="A601" s="4">
        <v>1857</v>
      </c>
      <c r="B601" s="35">
        <v>-25.46</v>
      </c>
      <c r="C601" s="35">
        <v>-23.98</v>
      </c>
      <c r="D601">
        <f t="shared" si="59"/>
        <v>-24.045000000000002</v>
      </c>
      <c r="E601" s="35">
        <v>-23.86</v>
      </c>
      <c r="F601" s="35">
        <v>-23.99</v>
      </c>
      <c r="G601" s="35">
        <v>-24.1</v>
      </c>
      <c r="J601" s="85" t="s">
        <v>19</v>
      </c>
      <c r="K601" s="32">
        <f t="shared" si="55"/>
        <v>-24.239166666666666</v>
      </c>
      <c r="L601" s="32">
        <v>0.18500000000000227</v>
      </c>
      <c r="M601" s="32">
        <v>-6.5000000000001279E-2</v>
      </c>
      <c r="N601" s="32">
        <v>1.4800000000000004</v>
      </c>
      <c r="O601" s="32">
        <v>0.76749999999999829</v>
      </c>
      <c r="P601" s="128">
        <f t="shared" si="56"/>
        <v>1.4149999999999991</v>
      </c>
      <c r="Q601" s="128">
        <f t="shared" si="57"/>
        <v>-6.5000000000001279E-2</v>
      </c>
      <c r="R601" s="128">
        <f t="shared" si="58"/>
        <v>0.67499999999999716</v>
      </c>
      <c r="S601" s="98">
        <v>0</v>
      </c>
      <c r="T601" s="99">
        <v>0</v>
      </c>
      <c r="U601" s="99">
        <v>0</v>
      </c>
      <c r="V601" s="99">
        <v>0</v>
      </c>
      <c r="W601" s="99">
        <v>1</v>
      </c>
      <c r="X601" s="73" t="s">
        <v>16</v>
      </c>
      <c r="AC601"/>
      <c r="AD601"/>
    </row>
    <row r="602" spans="1:30" x14ac:dyDescent="0.3">
      <c r="A602" s="4">
        <v>1858</v>
      </c>
      <c r="B602" s="35">
        <v>-26.3</v>
      </c>
      <c r="C602" s="35">
        <v>-24.91</v>
      </c>
      <c r="D602">
        <f t="shared" si="59"/>
        <v>-25.299999999999997</v>
      </c>
      <c r="E602" s="35">
        <v>-24.71</v>
      </c>
      <c r="F602" s="35">
        <v>-24.99</v>
      </c>
      <c r="G602" s="35">
        <v>-25.61</v>
      </c>
      <c r="J602" s="85" t="s">
        <v>19</v>
      </c>
      <c r="K602" s="32">
        <f t="shared" si="55"/>
        <v>-25.303333333333331</v>
      </c>
      <c r="L602" s="32">
        <v>0.58999999999999631</v>
      </c>
      <c r="M602" s="32">
        <v>-0.38999999999999702</v>
      </c>
      <c r="N602" s="32">
        <v>1.3900000000000006</v>
      </c>
      <c r="O602" s="32">
        <v>0.60000000000000142</v>
      </c>
      <c r="P602" s="128">
        <f t="shared" si="56"/>
        <v>1.0000000000000036</v>
      </c>
      <c r="Q602" s="128">
        <f t="shared" si="57"/>
        <v>-0.38999999999999702</v>
      </c>
      <c r="R602" s="128">
        <f t="shared" si="58"/>
        <v>0.30500000000000327</v>
      </c>
      <c r="S602" s="98">
        <v>0</v>
      </c>
      <c r="T602" s="99">
        <v>0</v>
      </c>
      <c r="U602" s="99">
        <v>0</v>
      </c>
      <c r="V602" s="99">
        <v>0</v>
      </c>
      <c r="W602" s="99">
        <v>0</v>
      </c>
      <c r="X602" s="73" t="s">
        <v>16</v>
      </c>
      <c r="AC602"/>
      <c r="AD602"/>
    </row>
    <row r="603" spans="1:30" x14ac:dyDescent="0.3">
      <c r="A603" s="4">
        <v>1859</v>
      </c>
      <c r="B603" s="35">
        <v>-25.57</v>
      </c>
      <c r="C603" s="35">
        <v>-24.48</v>
      </c>
      <c r="D603">
        <f t="shared" si="59"/>
        <v>-25.494999999999997</v>
      </c>
      <c r="E603" s="35">
        <v>-24.12</v>
      </c>
      <c r="F603" s="35">
        <v>-25.15</v>
      </c>
      <c r="G603" s="35">
        <v>-25.84</v>
      </c>
      <c r="J603" s="85" t="s">
        <v>19</v>
      </c>
      <c r="K603" s="32">
        <f t="shared" si="55"/>
        <v>-25.109166666666667</v>
      </c>
      <c r="L603" s="32">
        <v>1.3749999999999964</v>
      </c>
      <c r="M603" s="32">
        <v>-1.014999999999997</v>
      </c>
      <c r="N603" s="32">
        <v>1.0899999999999999</v>
      </c>
      <c r="O603" s="32">
        <v>0.21750000000000114</v>
      </c>
      <c r="P603" s="128">
        <f t="shared" si="56"/>
        <v>7.5000000000002842E-2</v>
      </c>
      <c r="Q603" s="128">
        <f t="shared" si="57"/>
        <v>-1.014999999999997</v>
      </c>
      <c r="R603" s="128">
        <f t="shared" si="58"/>
        <v>-0.46999999999999886</v>
      </c>
      <c r="S603" s="98">
        <v>1</v>
      </c>
      <c r="T603" s="99">
        <v>0</v>
      </c>
      <c r="U603" s="99">
        <v>0</v>
      </c>
      <c r="V603" s="99">
        <v>0</v>
      </c>
      <c r="W603" s="99">
        <v>0</v>
      </c>
      <c r="X603" s="73" t="s">
        <v>16</v>
      </c>
      <c r="AC603"/>
      <c r="AD603"/>
    </row>
    <row r="604" spans="1:30" x14ac:dyDescent="0.3">
      <c r="A604" s="4">
        <v>1860</v>
      </c>
      <c r="B604">
        <v>-32.771000000000001</v>
      </c>
      <c r="C604">
        <v>-31.8</v>
      </c>
      <c r="D604">
        <f t="shared" si="59"/>
        <v>-31.35</v>
      </c>
      <c r="E604">
        <v>-30.5</v>
      </c>
      <c r="F604">
        <v>-32</v>
      </c>
      <c r="G604">
        <v>-30.7</v>
      </c>
      <c r="J604" s="4" t="s">
        <v>18</v>
      </c>
      <c r="K604" s="32">
        <f t="shared" si="55"/>
        <v>-31.520166666666665</v>
      </c>
      <c r="L604" s="32">
        <v>0.85000000000000142</v>
      </c>
      <c r="M604" s="32">
        <v>0.44999999999999929</v>
      </c>
      <c r="N604" s="32">
        <v>0.97100000000000009</v>
      </c>
      <c r="O604" s="32">
        <v>1.3604999999999983</v>
      </c>
      <c r="P604" s="128">
        <f t="shared" si="56"/>
        <v>1.4209999999999994</v>
      </c>
      <c r="Q604" s="128">
        <f t="shared" si="57"/>
        <v>0.44999999999999929</v>
      </c>
      <c r="R604" s="128">
        <f t="shared" si="58"/>
        <v>0.93549999999999756</v>
      </c>
      <c r="S604" s="98">
        <v>0</v>
      </c>
      <c r="T604" s="99">
        <v>0</v>
      </c>
      <c r="U604" s="99">
        <v>0</v>
      </c>
      <c r="V604" s="99">
        <v>0</v>
      </c>
      <c r="W604" s="99">
        <v>0</v>
      </c>
      <c r="X604" s="73" t="s">
        <v>16</v>
      </c>
      <c r="AC604"/>
      <c r="AD604"/>
    </row>
    <row r="605" spans="1:30" x14ac:dyDescent="0.3">
      <c r="A605" s="4">
        <v>1861</v>
      </c>
      <c r="B605">
        <v>-30</v>
      </c>
      <c r="C605">
        <v>-28.4</v>
      </c>
      <c r="D605">
        <f t="shared" si="59"/>
        <v>-28</v>
      </c>
      <c r="E605">
        <v>-29.1</v>
      </c>
      <c r="F605">
        <v>-28</v>
      </c>
      <c r="G605">
        <v>-28</v>
      </c>
      <c r="J605" s="4" t="s">
        <v>18</v>
      </c>
      <c r="K605" s="32">
        <f t="shared" si="55"/>
        <v>-28.583333333333332</v>
      </c>
      <c r="L605" s="32">
        <v>-1.1000000000000014</v>
      </c>
      <c r="M605" s="32">
        <v>0.39999999999999858</v>
      </c>
      <c r="N605" s="32">
        <v>1.6000000000000014</v>
      </c>
      <c r="O605" s="32">
        <v>0.64999999999999858</v>
      </c>
      <c r="P605" s="128">
        <f t="shared" si="56"/>
        <v>0.89999999999999858</v>
      </c>
      <c r="Q605" s="128">
        <f t="shared" si="57"/>
        <v>-0.70000000000000284</v>
      </c>
      <c r="R605" s="128">
        <f t="shared" si="58"/>
        <v>9.9999999999997868E-2</v>
      </c>
      <c r="S605" s="98">
        <v>0</v>
      </c>
      <c r="T605" s="99">
        <v>0</v>
      </c>
      <c r="U605" s="99">
        <v>0</v>
      </c>
      <c r="V605" s="99">
        <v>0</v>
      </c>
      <c r="W605" s="99">
        <v>0</v>
      </c>
      <c r="X605" s="73" t="s">
        <v>16</v>
      </c>
      <c r="AC605"/>
      <c r="AD605"/>
    </row>
    <row r="606" spans="1:30" x14ac:dyDescent="0.3">
      <c r="A606" s="4">
        <v>1862</v>
      </c>
      <c r="B606">
        <v>-33.299999999999997</v>
      </c>
      <c r="C606">
        <v>-32.212000000000003</v>
      </c>
      <c r="D606">
        <f t="shared" si="59"/>
        <v>-32.849999999999994</v>
      </c>
      <c r="E606">
        <v>-31.4</v>
      </c>
      <c r="F606">
        <v>-32.799999999999997</v>
      </c>
      <c r="G606">
        <v>-32.9</v>
      </c>
      <c r="J606" s="4" t="s">
        <v>18</v>
      </c>
      <c r="K606" s="32">
        <f t="shared" si="55"/>
        <v>-32.577000000000005</v>
      </c>
      <c r="L606" s="32">
        <v>1.4499999999999957</v>
      </c>
      <c r="M606" s="32">
        <v>-0.63799999999999102</v>
      </c>
      <c r="N606" s="32">
        <v>1.0879999999999939</v>
      </c>
      <c r="O606" s="32">
        <v>0.63100000000000023</v>
      </c>
      <c r="P606" s="128">
        <f t="shared" si="56"/>
        <v>0.45000000000000284</v>
      </c>
      <c r="Q606" s="128">
        <f t="shared" si="57"/>
        <v>-0.63799999999999102</v>
      </c>
      <c r="R606" s="128">
        <f t="shared" si="58"/>
        <v>-9.3999999999994088E-2</v>
      </c>
      <c r="S606" s="98">
        <v>1</v>
      </c>
      <c r="T606" s="99">
        <v>0</v>
      </c>
      <c r="U606" s="99">
        <v>0</v>
      </c>
      <c r="V606" s="99">
        <v>0</v>
      </c>
      <c r="W606" s="99">
        <v>0</v>
      </c>
      <c r="X606" s="73" t="s">
        <v>16</v>
      </c>
      <c r="AC606"/>
      <c r="AD606"/>
    </row>
    <row r="607" spans="1:30" x14ac:dyDescent="0.3">
      <c r="A607" s="4">
        <v>1863</v>
      </c>
      <c r="B607">
        <v>-29.8</v>
      </c>
      <c r="C607">
        <v>-29.4</v>
      </c>
      <c r="D607">
        <f t="shared" si="59"/>
        <v>-28.6</v>
      </c>
      <c r="E607">
        <v>-29.5</v>
      </c>
      <c r="F607">
        <v>-28.7</v>
      </c>
      <c r="G607">
        <v>-28.5</v>
      </c>
      <c r="J607" s="4" t="s">
        <v>18</v>
      </c>
      <c r="K607" s="32">
        <f t="shared" si="55"/>
        <v>-29.083333333333332</v>
      </c>
      <c r="L607" s="32">
        <v>-0.89999999999999858</v>
      </c>
      <c r="M607" s="32">
        <v>0.79999999999999716</v>
      </c>
      <c r="N607" s="32">
        <v>0.40000000000000213</v>
      </c>
      <c r="O607" s="32">
        <v>0.55000000000000071</v>
      </c>
      <c r="P607" s="128">
        <f t="shared" si="56"/>
        <v>0.30000000000000071</v>
      </c>
      <c r="Q607" s="128">
        <f t="shared" si="57"/>
        <v>-0.10000000000000142</v>
      </c>
      <c r="R607" s="128">
        <f t="shared" si="58"/>
        <v>0.10000000000000142</v>
      </c>
      <c r="S607" s="98">
        <v>0</v>
      </c>
      <c r="T607" s="99">
        <v>0</v>
      </c>
      <c r="U607" s="99">
        <v>0</v>
      </c>
      <c r="V607" s="99">
        <v>0</v>
      </c>
      <c r="W607" s="99">
        <v>0</v>
      </c>
      <c r="X607" s="73" t="s">
        <v>16</v>
      </c>
      <c r="AC607"/>
      <c r="AD607"/>
    </row>
    <row r="608" spans="1:30" x14ac:dyDescent="0.3">
      <c r="A608" s="4">
        <v>1864</v>
      </c>
      <c r="B608">
        <v>-32</v>
      </c>
      <c r="C608">
        <v>-32.299999999999997</v>
      </c>
      <c r="D608">
        <f t="shared" si="59"/>
        <v>-30.4</v>
      </c>
      <c r="E608">
        <v>-30.5</v>
      </c>
      <c r="F608">
        <v>-30.8</v>
      </c>
      <c r="G608">
        <v>-30</v>
      </c>
      <c r="J608" s="4" t="s">
        <v>18</v>
      </c>
      <c r="K608" s="32">
        <f t="shared" si="55"/>
        <v>-31</v>
      </c>
      <c r="L608" s="32">
        <v>-0.10000000000000142</v>
      </c>
      <c r="M608" s="32">
        <v>1.8999999999999986</v>
      </c>
      <c r="N608" s="32">
        <v>-0.29999999999999716</v>
      </c>
      <c r="O608" s="32">
        <v>1.6999999999999993</v>
      </c>
      <c r="P608" s="128">
        <f t="shared" si="56"/>
        <v>1.7999999999999972</v>
      </c>
      <c r="Q608" s="128">
        <f t="shared" si="57"/>
        <v>1.5</v>
      </c>
      <c r="R608" s="128">
        <f t="shared" si="58"/>
        <v>1.6499999999999986</v>
      </c>
      <c r="S608" s="98">
        <v>0</v>
      </c>
      <c r="T608" s="99">
        <v>0</v>
      </c>
      <c r="U608" s="99">
        <v>0</v>
      </c>
      <c r="V608" s="99">
        <v>0</v>
      </c>
      <c r="W608" s="99">
        <v>1</v>
      </c>
      <c r="X608" s="73" t="s">
        <v>16</v>
      </c>
      <c r="AC608"/>
      <c r="AD608"/>
    </row>
    <row r="609" spans="1:30" x14ac:dyDescent="0.3">
      <c r="A609" s="4">
        <v>1865</v>
      </c>
      <c r="B609">
        <v>-29.864999999999998</v>
      </c>
      <c r="C609">
        <v>-28.8</v>
      </c>
      <c r="D609">
        <f t="shared" si="59"/>
        <v>-28.3</v>
      </c>
      <c r="E609">
        <v>-28.8</v>
      </c>
      <c r="F609">
        <v>-28.3</v>
      </c>
      <c r="G609">
        <v>-28.3</v>
      </c>
      <c r="J609" s="4" t="s">
        <v>18</v>
      </c>
      <c r="K609" s="32">
        <f t="shared" si="55"/>
        <v>-28.727500000000003</v>
      </c>
      <c r="L609" s="32">
        <v>-0.5</v>
      </c>
      <c r="M609" s="32">
        <v>0.5</v>
      </c>
      <c r="N609" s="32">
        <v>1.0649999999999977</v>
      </c>
      <c r="O609" s="32">
        <v>0.78249999999999886</v>
      </c>
      <c r="P609" s="128">
        <f t="shared" si="56"/>
        <v>1.0649999999999977</v>
      </c>
      <c r="Q609" s="128">
        <f t="shared" si="57"/>
        <v>0</v>
      </c>
      <c r="R609" s="128">
        <f t="shared" si="58"/>
        <v>0.53249999999999886</v>
      </c>
      <c r="S609" s="98">
        <v>0</v>
      </c>
      <c r="T609" s="99">
        <v>0</v>
      </c>
      <c r="U609" s="99">
        <v>0</v>
      </c>
      <c r="V609" s="99">
        <v>0</v>
      </c>
      <c r="W609" s="99">
        <v>0</v>
      </c>
      <c r="X609" s="73" t="s">
        <v>16</v>
      </c>
      <c r="AC609"/>
      <c r="AD609"/>
    </row>
    <row r="610" spans="1:30" x14ac:dyDescent="0.3">
      <c r="A610" s="4">
        <v>1866</v>
      </c>
      <c r="B610">
        <v>-31.6</v>
      </c>
      <c r="C610">
        <v>-28.4</v>
      </c>
      <c r="D610">
        <f t="shared" si="59"/>
        <v>-29.024999999999999</v>
      </c>
      <c r="E610">
        <v>-31</v>
      </c>
      <c r="F610">
        <v>-29</v>
      </c>
      <c r="G610">
        <v>-29.05</v>
      </c>
      <c r="J610" s="4" t="s">
        <v>18</v>
      </c>
      <c r="K610" s="32">
        <f t="shared" si="55"/>
        <v>-29.679166666666671</v>
      </c>
      <c r="L610" s="32">
        <v>-1.9750000000000014</v>
      </c>
      <c r="M610" s="32">
        <v>-0.625</v>
      </c>
      <c r="N610" s="32">
        <v>3.2000000000000028</v>
      </c>
      <c r="O610" s="32">
        <v>-1.2499999999999289E-2</v>
      </c>
      <c r="P610" s="128">
        <f t="shared" si="56"/>
        <v>0.60000000000000142</v>
      </c>
      <c r="Q610" s="128">
        <f t="shared" si="57"/>
        <v>-2.6000000000000014</v>
      </c>
      <c r="R610" s="128">
        <f t="shared" si="58"/>
        <v>-1</v>
      </c>
      <c r="S610" s="98">
        <v>0</v>
      </c>
      <c r="T610" s="99">
        <v>0</v>
      </c>
      <c r="U610" s="99">
        <v>0</v>
      </c>
      <c r="V610" s="99">
        <v>0</v>
      </c>
      <c r="W610" s="99">
        <v>0</v>
      </c>
      <c r="X610" s="73" t="s">
        <v>16</v>
      </c>
      <c r="AC610"/>
      <c r="AD610"/>
    </row>
    <row r="611" spans="1:30" x14ac:dyDescent="0.3">
      <c r="A611" s="4">
        <v>1867</v>
      </c>
      <c r="B611">
        <v>-29.7</v>
      </c>
      <c r="C611">
        <v>-28.4</v>
      </c>
      <c r="D611">
        <f t="shared" si="59"/>
        <v>-28.325000000000003</v>
      </c>
      <c r="E611">
        <v>-27.7</v>
      </c>
      <c r="F611">
        <v>-28.35</v>
      </c>
      <c r="G611">
        <v>-28.3</v>
      </c>
      <c r="J611" s="4" t="s">
        <v>18</v>
      </c>
      <c r="K611" s="32">
        <f t="shared" si="55"/>
        <v>-28.462500000000002</v>
      </c>
      <c r="L611" s="32">
        <v>0.62500000000000355</v>
      </c>
      <c r="M611" s="32">
        <v>7.4999999999995737E-2</v>
      </c>
      <c r="N611" s="32">
        <v>1.3000000000000007</v>
      </c>
      <c r="O611" s="32">
        <v>1.0374999999999943</v>
      </c>
      <c r="P611" s="128">
        <f t="shared" si="56"/>
        <v>1.3749999999999964</v>
      </c>
      <c r="Q611" s="128">
        <f t="shared" si="57"/>
        <v>7.4999999999995737E-2</v>
      </c>
      <c r="R611" s="128">
        <f t="shared" si="58"/>
        <v>0.72499999999999432</v>
      </c>
      <c r="S611" s="98">
        <v>0</v>
      </c>
      <c r="T611" s="99">
        <v>0</v>
      </c>
      <c r="U611" s="99">
        <v>0</v>
      </c>
      <c r="V611" s="99">
        <v>0</v>
      </c>
      <c r="W611" s="99">
        <v>0</v>
      </c>
      <c r="X611" s="73" t="s">
        <v>16</v>
      </c>
      <c r="AC611"/>
      <c r="AD611"/>
    </row>
    <row r="612" spans="1:30" ht="21" x14ac:dyDescent="0.35">
      <c r="A612" s="4">
        <v>1868</v>
      </c>
      <c r="B612">
        <v>-32.200000000000003</v>
      </c>
      <c r="C612">
        <v>-30.6</v>
      </c>
      <c r="D612" s="38">
        <f t="shared" si="59"/>
        <v>-29.65</v>
      </c>
      <c r="E612">
        <v>-30.5</v>
      </c>
      <c r="F612">
        <v>-29.8</v>
      </c>
      <c r="G612">
        <v>-29.5</v>
      </c>
      <c r="J612" s="4" t="s">
        <v>18</v>
      </c>
      <c r="K612" s="32">
        <f t="shared" si="55"/>
        <v>-30.375</v>
      </c>
      <c r="L612" s="32">
        <v>-0.85000000000000142</v>
      </c>
      <c r="M612" s="32">
        <v>0.95000000000000284</v>
      </c>
      <c r="N612" s="32">
        <v>1.6000000000000014</v>
      </c>
      <c r="O612" s="32">
        <v>1.3250000000000028</v>
      </c>
      <c r="P612" s="128">
        <f t="shared" si="56"/>
        <v>1.7000000000000028</v>
      </c>
      <c r="Q612" s="128">
        <f t="shared" si="57"/>
        <v>0.10000000000000142</v>
      </c>
      <c r="R612" s="128">
        <f t="shared" si="58"/>
        <v>0.90000000000000213</v>
      </c>
      <c r="S612" s="98">
        <v>0</v>
      </c>
      <c r="T612" s="99">
        <v>0</v>
      </c>
      <c r="U612" s="99">
        <v>0</v>
      </c>
      <c r="V612" s="99">
        <v>0</v>
      </c>
      <c r="W612" s="99">
        <v>1</v>
      </c>
      <c r="X612" s="73" t="s">
        <v>16</v>
      </c>
      <c r="AC612"/>
      <c r="AD612"/>
    </row>
    <row r="613" spans="1:30" ht="21" x14ac:dyDescent="0.35">
      <c r="A613" s="4">
        <v>1869</v>
      </c>
      <c r="B613">
        <v>-30.14</v>
      </c>
      <c r="C613">
        <v>-29.18</v>
      </c>
      <c r="D613" s="38">
        <f t="shared" si="59"/>
        <v>-28.78</v>
      </c>
      <c r="E613">
        <v>-29.35</v>
      </c>
      <c r="F613">
        <v>-28.78</v>
      </c>
      <c r="G613">
        <v>-28.78</v>
      </c>
      <c r="J613" s="4" t="s">
        <v>18</v>
      </c>
      <c r="K613" s="32">
        <f t="shared" si="55"/>
        <v>-29.168333333333333</v>
      </c>
      <c r="L613" s="32">
        <v>-0.57000000000000028</v>
      </c>
      <c r="M613" s="32">
        <v>0.39999999999999858</v>
      </c>
      <c r="N613" s="32">
        <v>0.96000000000000085</v>
      </c>
      <c r="O613" s="32">
        <v>0.59499999999999886</v>
      </c>
      <c r="P613" s="128">
        <f t="shared" si="56"/>
        <v>0.78999999999999915</v>
      </c>
      <c r="Q613" s="128">
        <f t="shared" si="57"/>
        <v>-0.17000000000000171</v>
      </c>
      <c r="R613" s="128">
        <f t="shared" si="58"/>
        <v>0.30999999999999872</v>
      </c>
      <c r="S613" s="98">
        <v>0</v>
      </c>
      <c r="T613" s="99">
        <v>0</v>
      </c>
      <c r="U613" s="99">
        <v>0</v>
      </c>
      <c r="V613" s="99">
        <v>0</v>
      </c>
      <c r="W613" s="99">
        <v>0</v>
      </c>
      <c r="X613" s="73" t="s">
        <v>16</v>
      </c>
      <c r="AC613"/>
      <c r="AD613"/>
    </row>
    <row r="614" spans="1:30" ht="21" x14ac:dyDescent="0.35">
      <c r="A614" s="4">
        <v>1870</v>
      </c>
      <c r="B614">
        <v>-30.05</v>
      </c>
      <c r="C614">
        <v>-28.7</v>
      </c>
      <c r="D614" s="38">
        <f t="shared" si="59"/>
        <v>-28.68</v>
      </c>
      <c r="E614">
        <v>-29.64</v>
      </c>
      <c r="F614">
        <v>-28.68</v>
      </c>
      <c r="G614">
        <v>-28.68</v>
      </c>
      <c r="J614" s="4" t="s">
        <v>18</v>
      </c>
      <c r="K614" s="32">
        <f t="shared" si="55"/>
        <v>-29.071666666666669</v>
      </c>
      <c r="L614" s="32">
        <v>-0.96000000000000085</v>
      </c>
      <c r="M614" s="32">
        <v>1.9999999999999574E-2</v>
      </c>
      <c r="N614" s="32">
        <v>1.3500000000000014</v>
      </c>
      <c r="O614" s="32">
        <v>0.21499999999999986</v>
      </c>
      <c r="P614" s="128">
        <f t="shared" si="56"/>
        <v>0.41000000000000014</v>
      </c>
      <c r="Q614" s="128">
        <f t="shared" si="57"/>
        <v>-0.94000000000000128</v>
      </c>
      <c r="R614" s="128">
        <f t="shared" si="58"/>
        <v>-0.26500000000000057</v>
      </c>
      <c r="S614" s="98">
        <v>0</v>
      </c>
      <c r="T614" s="99">
        <v>0</v>
      </c>
      <c r="U614" s="99">
        <v>0</v>
      </c>
      <c r="V614" s="99">
        <v>0</v>
      </c>
      <c r="W614" s="99">
        <v>0</v>
      </c>
      <c r="X614" s="73" t="s">
        <v>16</v>
      </c>
      <c r="AC614"/>
      <c r="AD614"/>
    </row>
    <row r="615" spans="1:30" x14ac:dyDescent="0.3">
      <c r="A615" s="4">
        <v>1871</v>
      </c>
      <c r="B615">
        <v>-29.83</v>
      </c>
      <c r="C615">
        <v>-29.34</v>
      </c>
      <c r="D615">
        <f t="shared" si="59"/>
        <v>-28.61</v>
      </c>
      <c r="E615">
        <v>-29.47</v>
      </c>
      <c r="F615">
        <v>-28.76</v>
      </c>
      <c r="G615">
        <v>-28.46</v>
      </c>
      <c r="J615" s="4" t="s">
        <v>18</v>
      </c>
      <c r="K615" s="32">
        <f t="shared" si="55"/>
        <v>-29.078333333333333</v>
      </c>
      <c r="L615" s="32">
        <v>-0.85999999999999943</v>
      </c>
      <c r="M615" s="32">
        <v>0.73000000000000043</v>
      </c>
      <c r="N615" s="32">
        <v>0.48999999999999844</v>
      </c>
      <c r="O615" s="32">
        <v>0.54500000000000171</v>
      </c>
      <c r="P615" s="128">
        <f t="shared" si="56"/>
        <v>0.35999999999999943</v>
      </c>
      <c r="Q615" s="128">
        <f t="shared" si="57"/>
        <v>-0.12999999999999901</v>
      </c>
      <c r="R615" s="128">
        <f t="shared" si="58"/>
        <v>0.11500000000000199</v>
      </c>
      <c r="S615" s="98">
        <v>0</v>
      </c>
      <c r="T615" s="99">
        <v>0</v>
      </c>
      <c r="U615" s="99">
        <v>0</v>
      </c>
      <c r="V615" s="99">
        <v>0</v>
      </c>
      <c r="W615" s="99">
        <v>0</v>
      </c>
      <c r="X615" s="73" t="s">
        <v>16</v>
      </c>
      <c r="AC615"/>
      <c r="AD615"/>
    </row>
    <row r="616" spans="1:30" x14ac:dyDescent="0.3">
      <c r="A616" s="4">
        <v>1872</v>
      </c>
      <c r="B616">
        <v>-30.13</v>
      </c>
      <c r="C616">
        <v>-28.75</v>
      </c>
      <c r="D616">
        <f t="shared" si="59"/>
        <v>-28.67</v>
      </c>
      <c r="E616">
        <v>-29</v>
      </c>
      <c r="F616">
        <v>-28.75</v>
      </c>
      <c r="G616">
        <v>-28.59</v>
      </c>
      <c r="J616" s="4" t="s">
        <v>18</v>
      </c>
      <c r="K616" s="32">
        <f t="shared" si="55"/>
        <v>-28.981666666666669</v>
      </c>
      <c r="L616" s="32">
        <v>-0.32999999999999829</v>
      </c>
      <c r="M616" s="32">
        <v>7.9999999999998295E-2</v>
      </c>
      <c r="N616" s="32">
        <v>1.379999999999999</v>
      </c>
      <c r="O616" s="32">
        <v>0.60499999999999687</v>
      </c>
      <c r="P616" s="128">
        <f t="shared" si="56"/>
        <v>1.129999999999999</v>
      </c>
      <c r="Q616" s="128">
        <f t="shared" si="57"/>
        <v>-0.25</v>
      </c>
      <c r="R616" s="128">
        <f t="shared" si="58"/>
        <v>0.43999999999999773</v>
      </c>
      <c r="S616" s="98">
        <v>0</v>
      </c>
      <c r="T616" s="99">
        <v>0</v>
      </c>
      <c r="U616" s="99">
        <v>0</v>
      </c>
      <c r="V616" s="99">
        <v>0</v>
      </c>
      <c r="W616" s="99">
        <v>0</v>
      </c>
      <c r="X616" s="73" t="s">
        <v>16</v>
      </c>
      <c r="AC616"/>
      <c r="AD616"/>
    </row>
    <row r="617" spans="1:30" x14ac:dyDescent="0.3">
      <c r="A617" s="4">
        <v>1873</v>
      </c>
      <c r="B617">
        <v>-29.71</v>
      </c>
      <c r="C617">
        <v>-29.18</v>
      </c>
      <c r="D617">
        <f t="shared" si="59"/>
        <v>-29.975000000000001</v>
      </c>
      <c r="E617">
        <v>-29.55</v>
      </c>
      <c r="F617">
        <v>-29.93</v>
      </c>
      <c r="G617">
        <v>-30.02</v>
      </c>
      <c r="J617" s="4" t="s">
        <v>18</v>
      </c>
      <c r="K617" s="32">
        <f t="shared" si="55"/>
        <v>-29.727500000000003</v>
      </c>
      <c r="L617" s="32">
        <v>0.42500000000000071</v>
      </c>
      <c r="M617" s="32">
        <v>-0.79500000000000171</v>
      </c>
      <c r="N617" s="32">
        <v>0.53000000000000114</v>
      </c>
      <c r="O617" s="32">
        <v>-0.31750000000000256</v>
      </c>
      <c r="P617" s="128">
        <f t="shared" si="56"/>
        <v>-0.26500000000000057</v>
      </c>
      <c r="Q617" s="128">
        <f t="shared" si="57"/>
        <v>-0.79500000000000171</v>
      </c>
      <c r="R617" s="128">
        <f t="shared" si="58"/>
        <v>-0.53000000000000114</v>
      </c>
      <c r="S617" s="98">
        <v>1</v>
      </c>
      <c r="T617" s="99">
        <v>0</v>
      </c>
      <c r="U617" s="99">
        <v>0</v>
      </c>
      <c r="V617" s="99">
        <v>0</v>
      </c>
      <c r="W617" s="99">
        <v>0</v>
      </c>
      <c r="X617" s="73" t="s">
        <v>16</v>
      </c>
      <c r="AC617"/>
      <c r="AD617"/>
    </row>
    <row r="618" spans="1:30" x14ac:dyDescent="0.3">
      <c r="A618" s="4">
        <v>1874</v>
      </c>
      <c r="B618">
        <v>-29.98</v>
      </c>
      <c r="C618">
        <v>-30.46</v>
      </c>
      <c r="D618">
        <f t="shared" si="59"/>
        <v>-29.064999999999998</v>
      </c>
      <c r="E618">
        <v>-29.01</v>
      </c>
      <c r="F618">
        <v>-29.27</v>
      </c>
      <c r="G618">
        <v>-28.86</v>
      </c>
      <c r="J618" s="4" t="s">
        <v>18</v>
      </c>
      <c r="K618" s="32">
        <f t="shared" si="55"/>
        <v>-29.44083333333333</v>
      </c>
      <c r="L618" s="32">
        <v>5.4999999999996163E-2</v>
      </c>
      <c r="M618" s="32">
        <v>1.3950000000000031</v>
      </c>
      <c r="N618" s="32">
        <v>-0.48000000000000043</v>
      </c>
      <c r="O618" s="32">
        <v>1.1824999999999974</v>
      </c>
      <c r="P618" s="128">
        <f t="shared" si="56"/>
        <v>1.3950000000000031</v>
      </c>
      <c r="Q618" s="128">
        <f t="shared" si="57"/>
        <v>0.9150000000000027</v>
      </c>
      <c r="R618" s="128">
        <f t="shared" si="58"/>
        <v>1.1550000000000011</v>
      </c>
      <c r="S618" s="98">
        <v>0</v>
      </c>
      <c r="T618" s="99">
        <v>0</v>
      </c>
      <c r="U618" s="99">
        <v>0</v>
      </c>
      <c r="V618" s="99">
        <v>0</v>
      </c>
      <c r="W618" s="99">
        <v>1</v>
      </c>
      <c r="X618" s="73" t="s">
        <v>16</v>
      </c>
      <c r="AC618"/>
      <c r="AD618"/>
    </row>
    <row r="619" spans="1:30" x14ac:dyDescent="0.3">
      <c r="A619" s="4">
        <v>1875</v>
      </c>
      <c r="B619">
        <v>-31.78</v>
      </c>
      <c r="C619">
        <v>-28.94</v>
      </c>
      <c r="D619">
        <f t="shared" si="59"/>
        <v>-28.939999999999998</v>
      </c>
      <c r="E619">
        <v>-29.27</v>
      </c>
      <c r="F619">
        <v>-29.04</v>
      </c>
      <c r="G619">
        <v>-28.84</v>
      </c>
      <c r="J619" s="4" t="s">
        <v>18</v>
      </c>
      <c r="K619" s="32">
        <f t="shared" si="55"/>
        <v>-29.468333333333334</v>
      </c>
      <c r="L619" s="32">
        <v>-0.33000000000000185</v>
      </c>
      <c r="M619" s="32">
        <v>0</v>
      </c>
      <c r="N619" s="32">
        <v>2.84</v>
      </c>
      <c r="O619" s="32">
        <v>1.2550000000000026</v>
      </c>
      <c r="P619" s="128">
        <f t="shared" si="56"/>
        <v>2.5100000000000016</v>
      </c>
      <c r="Q619" s="128">
        <f t="shared" si="57"/>
        <v>-0.32999999999999829</v>
      </c>
      <c r="R619" s="128">
        <f t="shared" si="58"/>
        <v>1.0899999999999999</v>
      </c>
      <c r="S619" s="98">
        <v>0</v>
      </c>
      <c r="T619" s="99">
        <v>1</v>
      </c>
      <c r="U619" s="99">
        <v>1</v>
      </c>
      <c r="V619" s="99">
        <v>1</v>
      </c>
      <c r="W619" s="99">
        <v>0</v>
      </c>
      <c r="X619" s="73" t="s">
        <v>16</v>
      </c>
      <c r="AC619"/>
      <c r="AD619"/>
    </row>
    <row r="620" spans="1:30" x14ac:dyDescent="0.3">
      <c r="A620" s="4">
        <v>1876</v>
      </c>
      <c r="B620">
        <v>-30.83</v>
      </c>
      <c r="C620">
        <v>-30.17</v>
      </c>
      <c r="D620">
        <f t="shared" si="59"/>
        <v>-29.704999999999998</v>
      </c>
      <c r="E620">
        <v>-30.04</v>
      </c>
      <c r="F620">
        <v>-29.64</v>
      </c>
      <c r="G620">
        <v>-29.77</v>
      </c>
      <c r="J620" s="4" t="s">
        <v>18</v>
      </c>
      <c r="K620" s="32">
        <f t="shared" si="55"/>
        <v>-30.025833333333335</v>
      </c>
      <c r="L620" s="32">
        <v>-0.33500000000000085</v>
      </c>
      <c r="M620" s="32">
        <v>0.46500000000000341</v>
      </c>
      <c r="N620" s="32">
        <v>0.65999999999999659</v>
      </c>
      <c r="O620" s="32">
        <v>0.62750000000000128</v>
      </c>
      <c r="P620" s="128">
        <f t="shared" si="56"/>
        <v>0.78999999999999915</v>
      </c>
      <c r="Q620" s="128">
        <f t="shared" si="57"/>
        <v>0.13000000000000256</v>
      </c>
      <c r="R620" s="128">
        <f t="shared" si="58"/>
        <v>0.46000000000000085</v>
      </c>
      <c r="S620" s="98">
        <v>0</v>
      </c>
      <c r="T620" s="99">
        <v>0</v>
      </c>
      <c r="U620" s="99">
        <v>0</v>
      </c>
      <c r="V620" s="99">
        <v>0</v>
      </c>
      <c r="W620" s="99">
        <v>0</v>
      </c>
      <c r="X620" s="73" t="s">
        <v>16</v>
      </c>
      <c r="AC620"/>
      <c r="AD620"/>
    </row>
    <row r="621" spans="1:30" x14ac:dyDescent="0.3">
      <c r="A621" s="4">
        <v>1877</v>
      </c>
      <c r="B621">
        <v>-30.37</v>
      </c>
      <c r="C621">
        <v>-29.17</v>
      </c>
      <c r="D621">
        <f t="shared" si="59"/>
        <v>-29.225000000000001</v>
      </c>
      <c r="E621">
        <v>-29.45</v>
      </c>
      <c r="F621">
        <v>-29.34</v>
      </c>
      <c r="G621">
        <v>-29.11</v>
      </c>
      <c r="J621" s="4" t="s">
        <v>18</v>
      </c>
      <c r="K621" s="32">
        <f t="shared" si="55"/>
        <v>-29.444166666666671</v>
      </c>
      <c r="L621" s="32">
        <v>-0.22499999999999787</v>
      </c>
      <c r="M621" s="32">
        <v>-5.4999999999999716E-2</v>
      </c>
      <c r="N621" s="32">
        <v>1.1999999999999993</v>
      </c>
      <c r="O621" s="32">
        <v>0.43250000000000455</v>
      </c>
      <c r="P621" s="128">
        <f t="shared" si="56"/>
        <v>0.92000000000000171</v>
      </c>
      <c r="Q621" s="128">
        <f t="shared" si="57"/>
        <v>-0.27999999999999758</v>
      </c>
      <c r="R621" s="128">
        <f t="shared" si="58"/>
        <v>0.32000000000000384</v>
      </c>
      <c r="S621" s="98">
        <v>0</v>
      </c>
      <c r="T621" s="99">
        <v>0</v>
      </c>
      <c r="U621" s="99">
        <v>0</v>
      </c>
      <c r="V621" s="99">
        <v>0</v>
      </c>
      <c r="W621" s="99">
        <v>0</v>
      </c>
      <c r="X621" s="73" t="s">
        <v>16</v>
      </c>
      <c r="AC621"/>
      <c r="AD621"/>
    </row>
    <row r="622" spans="1:30" x14ac:dyDescent="0.3">
      <c r="A622" s="4">
        <v>1878</v>
      </c>
      <c r="B622">
        <v>-32.369999999999997</v>
      </c>
      <c r="C622">
        <v>-31.84</v>
      </c>
      <c r="D622">
        <f t="shared" si="59"/>
        <v>-31.36</v>
      </c>
      <c r="E622">
        <v>-30.47</v>
      </c>
      <c r="F622">
        <v>-32.020000000000003</v>
      </c>
      <c r="G622">
        <v>-30.7</v>
      </c>
      <c r="J622" s="4" t="s">
        <v>18</v>
      </c>
      <c r="K622" s="32">
        <f t="shared" si="55"/>
        <v>-31.459999999999997</v>
      </c>
      <c r="L622" s="32">
        <v>0.89000000000000057</v>
      </c>
      <c r="M622" s="32">
        <v>0.48000000000000043</v>
      </c>
      <c r="N622" s="32">
        <v>0.52999999999999758</v>
      </c>
      <c r="O622" s="32">
        <v>1.1899999999999977</v>
      </c>
      <c r="P622" s="128">
        <f t="shared" si="56"/>
        <v>1.009999999999998</v>
      </c>
      <c r="Q622" s="128">
        <f t="shared" si="57"/>
        <v>0.48000000000000043</v>
      </c>
      <c r="R622" s="128">
        <f t="shared" si="58"/>
        <v>0.74499999999999744</v>
      </c>
      <c r="S622" s="98">
        <v>0</v>
      </c>
      <c r="T622" s="99">
        <v>0</v>
      </c>
      <c r="U622" s="99">
        <v>0</v>
      </c>
      <c r="V622" s="99">
        <v>0</v>
      </c>
      <c r="W622" s="99">
        <v>0</v>
      </c>
      <c r="X622" s="73" t="s">
        <v>16</v>
      </c>
      <c r="AC622"/>
      <c r="AD622"/>
    </row>
    <row r="623" spans="1:30" x14ac:dyDescent="0.3">
      <c r="A623" s="4">
        <v>1879</v>
      </c>
      <c r="B623">
        <v>-33.1</v>
      </c>
      <c r="C623">
        <v>-32.1</v>
      </c>
      <c r="D623">
        <f t="shared" si="59"/>
        <v>-32.754999999999995</v>
      </c>
      <c r="E623">
        <v>-31.3</v>
      </c>
      <c r="F623" s="39">
        <v>-32.659999999999997</v>
      </c>
      <c r="G623">
        <v>-32.85</v>
      </c>
      <c r="J623" s="4" t="s">
        <v>18</v>
      </c>
      <c r="K623" s="32">
        <f t="shared" si="55"/>
        <v>-32.460833333333333</v>
      </c>
      <c r="L623" s="32">
        <v>1.4549999999999947</v>
      </c>
      <c r="M623" s="32">
        <v>-0.65499999999999403</v>
      </c>
      <c r="N623" s="32">
        <v>1</v>
      </c>
      <c r="O623" s="32">
        <v>0.57250000000000512</v>
      </c>
      <c r="P623" s="128">
        <f t="shared" si="56"/>
        <v>0.34500000000000597</v>
      </c>
      <c r="Q623" s="128">
        <f t="shared" si="57"/>
        <v>-0.65499999999999403</v>
      </c>
      <c r="R623" s="128">
        <f t="shared" si="58"/>
        <v>-0.15499999999999403</v>
      </c>
      <c r="S623" s="98">
        <v>1</v>
      </c>
      <c r="T623" s="99">
        <v>0</v>
      </c>
      <c r="U623" s="99">
        <v>0</v>
      </c>
      <c r="V623" s="99">
        <v>0</v>
      </c>
      <c r="W623" s="99">
        <v>0</v>
      </c>
      <c r="X623" s="73" t="s">
        <v>16</v>
      </c>
      <c r="AC623"/>
      <c r="AD623"/>
    </row>
    <row r="624" spans="1:30" x14ac:dyDescent="0.3">
      <c r="A624" s="4">
        <v>1880</v>
      </c>
      <c r="B624">
        <v>-32</v>
      </c>
      <c r="C624">
        <v>-32.15</v>
      </c>
      <c r="D624">
        <f t="shared" ref="D624:D655" si="60">IF(AND(ISBLANK(F624),ISBLANK(G624)),"",IF(ISBLANK(F624),G624,IF(ISBLANK(G624),F624,(G624+F624)/2)))</f>
        <v>-30.4</v>
      </c>
      <c r="E624">
        <v>-30.4</v>
      </c>
      <c r="F624">
        <v>-30.8</v>
      </c>
      <c r="G624">
        <v>-30</v>
      </c>
      <c r="J624" s="4" t="s">
        <v>18</v>
      </c>
      <c r="K624" s="32">
        <f t="shared" si="55"/>
        <v>-30.958333333333339</v>
      </c>
      <c r="L624" s="32">
        <v>0</v>
      </c>
      <c r="M624" s="32">
        <v>1.75</v>
      </c>
      <c r="N624" s="32">
        <v>-0.14999999999999858</v>
      </c>
      <c r="O624" s="32">
        <v>1.6750000000000043</v>
      </c>
      <c r="P624" s="128">
        <f t="shared" si="56"/>
        <v>1.75</v>
      </c>
      <c r="Q624" s="128">
        <f t="shared" si="57"/>
        <v>1.6000000000000014</v>
      </c>
      <c r="R624" s="128">
        <f t="shared" si="58"/>
        <v>1.6750000000000043</v>
      </c>
      <c r="S624" s="98">
        <v>0</v>
      </c>
      <c r="T624" s="99">
        <v>0</v>
      </c>
      <c r="U624" s="99">
        <v>0</v>
      </c>
      <c r="V624" s="99">
        <v>0</v>
      </c>
      <c r="W624" s="99">
        <v>1</v>
      </c>
      <c r="X624" s="73" t="s">
        <v>16</v>
      </c>
      <c r="AC624"/>
      <c r="AD624"/>
    </row>
    <row r="625" spans="1:30" x14ac:dyDescent="0.3">
      <c r="A625" s="4">
        <v>1881</v>
      </c>
      <c r="B625">
        <v>-30.75</v>
      </c>
      <c r="C625">
        <v>-29.93</v>
      </c>
      <c r="D625">
        <f t="shared" si="60"/>
        <v>-29.504999999999999</v>
      </c>
      <c r="E625">
        <v>-30.62</v>
      </c>
      <c r="F625">
        <v>-29.2</v>
      </c>
      <c r="G625">
        <v>-29.81</v>
      </c>
      <c r="J625" s="4" t="s">
        <v>18</v>
      </c>
      <c r="K625" s="32">
        <f t="shared" si="55"/>
        <v>-29.969166666666666</v>
      </c>
      <c r="L625" s="32">
        <v>-1.115000000000002</v>
      </c>
      <c r="M625" s="32">
        <v>0.42500000000000071</v>
      </c>
      <c r="N625" s="32">
        <v>0.82000000000000028</v>
      </c>
      <c r="O625" s="32">
        <v>0.27749999999999986</v>
      </c>
      <c r="P625" s="128">
        <f t="shared" si="56"/>
        <v>0.12999999999999901</v>
      </c>
      <c r="Q625" s="128">
        <f t="shared" si="57"/>
        <v>-0.69000000000000128</v>
      </c>
      <c r="R625" s="128">
        <f t="shared" si="58"/>
        <v>-0.28000000000000114</v>
      </c>
      <c r="S625" s="98">
        <v>0</v>
      </c>
      <c r="T625" s="99">
        <v>0</v>
      </c>
      <c r="U625" s="99">
        <v>0</v>
      </c>
      <c r="V625" s="99">
        <v>0</v>
      </c>
      <c r="W625" s="99">
        <v>0</v>
      </c>
      <c r="X625" s="73" t="s">
        <v>16</v>
      </c>
      <c r="AC625"/>
      <c r="AD625"/>
    </row>
    <row r="626" spans="1:30" x14ac:dyDescent="0.3">
      <c r="A626" s="4">
        <v>1882</v>
      </c>
      <c r="B626">
        <v>-32</v>
      </c>
      <c r="C626">
        <v>-30.76</v>
      </c>
      <c r="D626">
        <f t="shared" si="60"/>
        <v>-29.59</v>
      </c>
      <c r="E626">
        <v>-30.45</v>
      </c>
      <c r="F626">
        <v>-29.84</v>
      </c>
      <c r="G626">
        <v>-29.34</v>
      </c>
      <c r="J626" s="4" t="s">
        <v>18</v>
      </c>
      <c r="K626" s="32">
        <f t="shared" si="55"/>
        <v>-30.330000000000002</v>
      </c>
      <c r="L626" s="32">
        <v>-0.85999999999999943</v>
      </c>
      <c r="M626" s="32">
        <v>1.1700000000000017</v>
      </c>
      <c r="N626" s="32">
        <v>1.2399999999999984</v>
      </c>
      <c r="O626" s="32">
        <v>1.360000000000003</v>
      </c>
      <c r="P626" s="128">
        <f t="shared" si="56"/>
        <v>1.5500000000000007</v>
      </c>
      <c r="Q626" s="128">
        <f t="shared" si="57"/>
        <v>0.31000000000000227</v>
      </c>
      <c r="R626" s="128">
        <f t="shared" si="58"/>
        <v>0.93000000000000327</v>
      </c>
      <c r="S626" s="98">
        <v>0</v>
      </c>
      <c r="T626" s="99">
        <v>0</v>
      </c>
      <c r="U626" s="99">
        <v>0</v>
      </c>
      <c r="V626" s="99">
        <v>0</v>
      </c>
      <c r="W626" s="99">
        <v>0</v>
      </c>
      <c r="X626" s="73" t="s">
        <v>16</v>
      </c>
      <c r="AC626"/>
      <c r="AD626"/>
    </row>
    <row r="627" spans="1:30" x14ac:dyDescent="0.3">
      <c r="A627" s="4">
        <v>1883</v>
      </c>
      <c r="B627">
        <v>-30.15</v>
      </c>
      <c r="C627">
        <v>-29.26</v>
      </c>
      <c r="D627">
        <f t="shared" si="60"/>
        <v>-29.055</v>
      </c>
      <c r="E627">
        <v>-29.39</v>
      </c>
      <c r="F627">
        <v>-28.96</v>
      </c>
      <c r="G627">
        <v>-29.15</v>
      </c>
      <c r="J627" s="4" t="s">
        <v>18</v>
      </c>
      <c r="K627" s="32">
        <f t="shared" si="55"/>
        <v>-29.327500000000001</v>
      </c>
      <c r="L627" s="32">
        <v>-0.33500000000000085</v>
      </c>
      <c r="M627" s="32">
        <v>0.20500000000000185</v>
      </c>
      <c r="N627" s="32">
        <v>0.88999999999999702</v>
      </c>
      <c r="O627" s="32">
        <v>0.48249999999999815</v>
      </c>
      <c r="P627" s="128">
        <f t="shared" si="56"/>
        <v>0.75999999999999801</v>
      </c>
      <c r="Q627" s="128">
        <f t="shared" si="57"/>
        <v>-0.12999999999999901</v>
      </c>
      <c r="R627" s="128">
        <f t="shared" si="58"/>
        <v>0.31499999999999773</v>
      </c>
      <c r="S627" s="98">
        <v>0</v>
      </c>
      <c r="T627" s="99">
        <v>0</v>
      </c>
      <c r="U627" s="99">
        <v>0</v>
      </c>
      <c r="V627" s="99">
        <v>0</v>
      </c>
      <c r="W627" s="99">
        <v>0</v>
      </c>
      <c r="X627" s="73" t="s">
        <v>16</v>
      </c>
      <c r="AC627"/>
      <c r="AD627"/>
    </row>
    <row r="628" spans="1:30" x14ac:dyDescent="0.3">
      <c r="A628" s="4">
        <v>1884</v>
      </c>
      <c r="B628">
        <v>-30.48</v>
      </c>
      <c r="C628">
        <v>-29.32</v>
      </c>
      <c r="D628">
        <f t="shared" si="60"/>
        <v>-30.15</v>
      </c>
      <c r="E628">
        <v>-29.42</v>
      </c>
      <c r="F628">
        <v>-30.19</v>
      </c>
      <c r="G628">
        <v>-30.11</v>
      </c>
      <c r="J628" s="4" t="s">
        <v>18</v>
      </c>
      <c r="K628" s="32">
        <f t="shared" si="55"/>
        <v>-29.945000000000004</v>
      </c>
      <c r="L628" s="32">
        <v>0.72999999999999687</v>
      </c>
      <c r="M628" s="32">
        <v>-0.82999999999999829</v>
      </c>
      <c r="N628" s="32">
        <v>1.1600000000000001</v>
      </c>
      <c r="O628" s="32">
        <v>0.11499999999999844</v>
      </c>
      <c r="P628" s="128">
        <f t="shared" si="56"/>
        <v>0.33000000000000185</v>
      </c>
      <c r="Q628" s="128">
        <f t="shared" si="57"/>
        <v>-0.82999999999999829</v>
      </c>
      <c r="R628" s="128">
        <f t="shared" si="58"/>
        <v>-0.25</v>
      </c>
      <c r="S628" s="98">
        <v>1</v>
      </c>
      <c r="T628" s="99">
        <v>0</v>
      </c>
      <c r="U628" s="99">
        <v>0</v>
      </c>
      <c r="V628" s="99">
        <v>0</v>
      </c>
      <c r="W628" s="99">
        <v>0</v>
      </c>
      <c r="X628" s="73" t="s">
        <v>16</v>
      </c>
      <c r="AC628"/>
      <c r="AD628"/>
    </row>
    <row r="629" spans="1:30" x14ac:dyDescent="0.3">
      <c r="A629" s="4">
        <v>1885</v>
      </c>
      <c r="B629">
        <v>-30.09</v>
      </c>
      <c r="C629">
        <v>-30.08</v>
      </c>
      <c r="D629">
        <f t="shared" si="60"/>
        <v>-30.59</v>
      </c>
      <c r="E629">
        <v>-31.28</v>
      </c>
      <c r="F629">
        <v>-30.59</v>
      </c>
      <c r="G629">
        <v>-30.59</v>
      </c>
      <c r="J629" s="4" t="s">
        <v>18</v>
      </c>
      <c r="K629" s="32">
        <f t="shared" si="55"/>
        <v>-30.536666666666665</v>
      </c>
      <c r="L629" s="32">
        <v>-0.69000000000000128</v>
      </c>
      <c r="M629" s="32">
        <v>-0.51000000000000156</v>
      </c>
      <c r="N629" s="32">
        <v>1.0000000000001563E-2</v>
      </c>
      <c r="O629" s="32">
        <v>-0.85000000000000142</v>
      </c>
      <c r="P629" s="128">
        <f t="shared" si="56"/>
        <v>-1.1900000000000013</v>
      </c>
      <c r="Q629" s="128">
        <f t="shared" si="57"/>
        <v>-1.2000000000000028</v>
      </c>
      <c r="R629" s="128">
        <f t="shared" si="58"/>
        <v>-1.1950000000000003</v>
      </c>
      <c r="S629" s="98">
        <v>0</v>
      </c>
      <c r="T629" s="99">
        <v>1</v>
      </c>
      <c r="U629" s="99">
        <v>1</v>
      </c>
      <c r="V629" s="99">
        <v>1</v>
      </c>
      <c r="W629" s="99">
        <v>0</v>
      </c>
      <c r="X629" s="73" t="s">
        <v>16</v>
      </c>
      <c r="AC629"/>
      <c r="AD629"/>
    </row>
    <row r="630" spans="1:30" x14ac:dyDescent="0.3">
      <c r="A630" s="4">
        <v>1886</v>
      </c>
      <c r="B630">
        <v>-29.74</v>
      </c>
      <c r="C630">
        <v>-30</v>
      </c>
      <c r="D630">
        <f t="shared" si="60"/>
        <v>-30.14</v>
      </c>
      <c r="E630">
        <v>-29.23</v>
      </c>
      <c r="F630">
        <v>-29.83</v>
      </c>
      <c r="G630">
        <v>-30.45</v>
      </c>
      <c r="J630" s="4" t="s">
        <v>18</v>
      </c>
      <c r="K630" s="32">
        <f t="shared" si="55"/>
        <v>-29.89833333333333</v>
      </c>
      <c r="L630" s="32">
        <v>0.91000000000000014</v>
      </c>
      <c r="M630" s="32">
        <v>-0.14000000000000057</v>
      </c>
      <c r="N630" s="32">
        <v>-0.26000000000000156</v>
      </c>
      <c r="O630" s="32">
        <v>0.18499999999999517</v>
      </c>
      <c r="P630" s="128">
        <f t="shared" si="56"/>
        <v>-0.14000000000000057</v>
      </c>
      <c r="Q630" s="128">
        <f t="shared" si="57"/>
        <v>-0.40000000000000213</v>
      </c>
      <c r="R630" s="128">
        <f t="shared" si="58"/>
        <v>-0.27000000000000313</v>
      </c>
      <c r="S630" s="98">
        <v>1</v>
      </c>
      <c r="T630" s="99">
        <v>1</v>
      </c>
      <c r="U630" s="99">
        <v>1</v>
      </c>
      <c r="V630" s="99">
        <v>1</v>
      </c>
      <c r="W630" s="99">
        <v>0</v>
      </c>
      <c r="X630" s="73" t="s">
        <v>16</v>
      </c>
      <c r="AC630"/>
      <c r="AD630"/>
    </row>
    <row r="631" spans="1:30" x14ac:dyDescent="0.3">
      <c r="A631" s="4">
        <v>1887</v>
      </c>
      <c r="B631">
        <v>-29.71</v>
      </c>
      <c r="C631">
        <v>-29.26</v>
      </c>
      <c r="D631">
        <f t="shared" si="60"/>
        <v>-29.475000000000001</v>
      </c>
      <c r="E631">
        <v>-30.3</v>
      </c>
      <c r="F631">
        <v>-29.64</v>
      </c>
      <c r="G631">
        <v>-29.31</v>
      </c>
      <c r="J631" s="4" t="s">
        <v>18</v>
      </c>
      <c r="K631" s="32">
        <f t="shared" si="55"/>
        <v>-29.615833333333331</v>
      </c>
      <c r="L631" s="32">
        <v>-0.82499999999999929</v>
      </c>
      <c r="M631" s="32">
        <v>-0.21499999999999986</v>
      </c>
      <c r="N631" s="32">
        <v>0.44999999999999929</v>
      </c>
      <c r="O631" s="32">
        <v>-0.40250000000000341</v>
      </c>
      <c r="P631" s="128">
        <f t="shared" si="56"/>
        <v>-0.58999999999999986</v>
      </c>
      <c r="Q631" s="128">
        <f t="shared" si="57"/>
        <v>-1.0399999999999991</v>
      </c>
      <c r="R631" s="128">
        <f t="shared" si="58"/>
        <v>-0.81500000000000128</v>
      </c>
      <c r="S631" s="98">
        <v>0</v>
      </c>
      <c r="T631" s="99">
        <v>0</v>
      </c>
      <c r="U631" s="99">
        <v>0</v>
      </c>
      <c r="V631" s="99">
        <v>0</v>
      </c>
      <c r="W631" s="99">
        <v>0</v>
      </c>
      <c r="X631" s="73" t="s">
        <v>16</v>
      </c>
      <c r="AC631"/>
      <c r="AD631"/>
    </row>
    <row r="632" spans="1:30" x14ac:dyDescent="0.3">
      <c r="A632" s="4">
        <v>1888</v>
      </c>
      <c r="B632">
        <v>-29.72</v>
      </c>
      <c r="C632">
        <v>-30.08</v>
      </c>
      <c r="D632">
        <f t="shared" si="60"/>
        <v>-28.494999999999997</v>
      </c>
      <c r="E632">
        <v>-28.24</v>
      </c>
      <c r="F632">
        <v>-28.54</v>
      </c>
      <c r="G632">
        <v>-28.45</v>
      </c>
      <c r="J632" s="4" t="s">
        <v>18</v>
      </c>
      <c r="K632" s="32">
        <f t="shared" si="55"/>
        <v>-28.920833333333331</v>
      </c>
      <c r="L632" s="32">
        <v>0.25499999999999901</v>
      </c>
      <c r="M632" s="32">
        <v>1.5850000000000009</v>
      </c>
      <c r="N632" s="32">
        <v>-0.35999999999999943</v>
      </c>
      <c r="O632" s="32">
        <v>1.5324999999999989</v>
      </c>
      <c r="P632" s="128">
        <f t="shared" si="56"/>
        <v>1.5850000000000009</v>
      </c>
      <c r="Q632" s="128">
        <f t="shared" si="57"/>
        <v>1.2250000000000014</v>
      </c>
      <c r="R632" s="128">
        <f t="shared" si="58"/>
        <v>1.4050000000000011</v>
      </c>
      <c r="S632" s="98">
        <v>0</v>
      </c>
      <c r="T632" s="98">
        <v>0</v>
      </c>
      <c r="U632" s="98">
        <v>0</v>
      </c>
      <c r="V632" s="99">
        <v>0</v>
      </c>
      <c r="W632" s="99">
        <v>1</v>
      </c>
      <c r="X632" s="73" t="s">
        <v>16</v>
      </c>
      <c r="AC632"/>
      <c r="AD632"/>
    </row>
    <row r="633" spans="1:30" x14ac:dyDescent="0.3">
      <c r="A633" s="4">
        <v>1889</v>
      </c>
      <c r="B633">
        <v>-30.72</v>
      </c>
      <c r="C633">
        <v>-29.95</v>
      </c>
      <c r="D633">
        <f t="shared" si="60"/>
        <v>-30.765000000000001</v>
      </c>
      <c r="E633">
        <v>-30.13</v>
      </c>
      <c r="F633">
        <v>-31.42</v>
      </c>
      <c r="G633">
        <v>-30.11</v>
      </c>
      <c r="J633" s="4" t="s">
        <v>18</v>
      </c>
      <c r="K633" s="32">
        <f t="shared" si="55"/>
        <v>-30.515833333333337</v>
      </c>
      <c r="L633" s="32">
        <v>0.63500000000000156</v>
      </c>
      <c r="M633" s="32">
        <v>-0.81500000000000128</v>
      </c>
      <c r="N633" s="32">
        <v>0.76999999999999957</v>
      </c>
      <c r="O633" s="32">
        <v>-0.11249999999999716</v>
      </c>
      <c r="P633" s="128">
        <f t="shared" si="56"/>
        <v>-4.5000000000001705E-2</v>
      </c>
      <c r="Q633" s="128">
        <f t="shared" si="57"/>
        <v>-0.81500000000000128</v>
      </c>
      <c r="R633" s="128">
        <f t="shared" si="58"/>
        <v>-0.42999999999999972</v>
      </c>
      <c r="S633" s="98">
        <v>1</v>
      </c>
      <c r="T633" s="99">
        <v>0</v>
      </c>
      <c r="U633" s="99">
        <v>0</v>
      </c>
      <c r="V633" s="99">
        <v>0</v>
      </c>
      <c r="W633" s="99">
        <v>0</v>
      </c>
      <c r="X633" s="73" t="s">
        <v>16</v>
      </c>
      <c r="AC633"/>
      <c r="AD633"/>
    </row>
    <row r="634" spans="1:30" x14ac:dyDescent="0.3">
      <c r="A634" s="4">
        <v>1890</v>
      </c>
      <c r="B634">
        <v>-31.17</v>
      </c>
      <c r="C634">
        <v>-29.97</v>
      </c>
      <c r="D634">
        <f t="shared" si="60"/>
        <v>-30.77</v>
      </c>
      <c r="E634">
        <v>-30.52</v>
      </c>
      <c r="F634">
        <v>-30.14</v>
      </c>
      <c r="G634">
        <v>-31.4</v>
      </c>
      <c r="J634" s="4" t="s">
        <v>18</v>
      </c>
      <c r="K634" s="32">
        <f t="shared" si="55"/>
        <v>-30.661666666666665</v>
      </c>
      <c r="L634" s="32">
        <v>0.25</v>
      </c>
      <c r="M634" s="32">
        <v>-0.80000000000000071</v>
      </c>
      <c r="N634" s="32">
        <v>1.2000000000000028</v>
      </c>
      <c r="O634" s="32">
        <v>-7.4999999999999289E-2</v>
      </c>
      <c r="P634" s="128">
        <f t="shared" si="56"/>
        <v>0.40000000000000213</v>
      </c>
      <c r="Q634" s="128">
        <f t="shared" si="57"/>
        <v>-0.80000000000000071</v>
      </c>
      <c r="R634" s="128">
        <f t="shared" si="58"/>
        <v>-0.19999999999999929</v>
      </c>
      <c r="S634" s="98">
        <v>1</v>
      </c>
      <c r="T634" s="99">
        <v>0</v>
      </c>
      <c r="U634" s="99">
        <v>0</v>
      </c>
      <c r="V634" s="99">
        <v>0</v>
      </c>
      <c r="W634" s="99">
        <v>0</v>
      </c>
      <c r="X634" s="73" t="s">
        <v>16</v>
      </c>
      <c r="AC634"/>
      <c r="AD634"/>
    </row>
    <row r="635" spans="1:30" x14ac:dyDescent="0.3">
      <c r="A635" s="4">
        <v>1891</v>
      </c>
      <c r="B635">
        <v>-29.99</v>
      </c>
      <c r="C635">
        <v>-28.89</v>
      </c>
      <c r="D635">
        <f t="shared" si="60"/>
        <v>-28.61</v>
      </c>
      <c r="E635">
        <v>-28.19</v>
      </c>
      <c r="F635">
        <v>-28.49</v>
      </c>
      <c r="G635">
        <v>-28.73</v>
      </c>
      <c r="J635" s="4" t="s">
        <v>18</v>
      </c>
      <c r="K635" s="32">
        <f t="shared" si="55"/>
        <v>-28.816666666666663</v>
      </c>
      <c r="L635" s="32">
        <v>0.41999999999999815</v>
      </c>
      <c r="M635" s="32">
        <v>0.28000000000000114</v>
      </c>
      <c r="N635" s="32">
        <v>1.0999999999999979</v>
      </c>
      <c r="O635" s="32">
        <v>1.0399999999999991</v>
      </c>
      <c r="P635" s="128">
        <f t="shared" si="56"/>
        <v>1.379999999999999</v>
      </c>
      <c r="Q635" s="128">
        <f t="shared" si="57"/>
        <v>0.28000000000000114</v>
      </c>
      <c r="R635" s="128">
        <f t="shared" si="58"/>
        <v>0.82999999999999829</v>
      </c>
      <c r="S635" s="98">
        <v>0</v>
      </c>
      <c r="T635" s="99">
        <v>0</v>
      </c>
      <c r="U635" s="99">
        <v>0</v>
      </c>
      <c r="V635" s="99">
        <v>0</v>
      </c>
      <c r="W635" s="99">
        <v>0</v>
      </c>
      <c r="X635" s="73" t="s">
        <v>16</v>
      </c>
      <c r="AC635"/>
      <c r="AD635"/>
    </row>
    <row r="636" spans="1:30" x14ac:dyDescent="0.3">
      <c r="A636" s="4">
        <v>1892</v>
      </c>
      <c r="B636">
        <v>-29.92</v>
      </c>
      <c r="C636">
        <v>-28.52</v>
      </c>
      <c r="D636">
        <f t="shared" si="60"/>
        <v>-28.55</v>
      </c>
      <c r="E636">
        <v>-29.32</v>
      </c>
      <c r="F636">
        <v>-28.55</v>
      </c>
      <c r="G636">
        <v>-28.55</v>
      </c>
      <c r="J636" s="4" t="s">
        <v>18</v>
      </c>
      <c r="K636" s="32">
        <f t="shared" si="55"/>
        <v>-28.901666666666671</v>
      </c>
      <c r="L636" s="32">
        <v>-0.76999999999999957</v>
      </c>
      <c r="M636" s="32">
        <v>-3.0000000000001137E-2</v>
      </c>
      <c r="N636" s="32">
        <v>1.4000000000000021</v>
      </c>
      <c r="O636" s="32">
        <v>0.28499999999999659</v>
      </c>
      <c r="P636" s="128">
        <f t="shared" si="56"/>
        <v>0.60000000000000142</v>
      </c>
      <c r="Q636" s="128">
        <f t="shared" si="57"/>
        <v>-0.80000000000000071</v>
      </c>
      <c r="R636" s="128">
        <f t="shared" si="58"/>
        <v>-0.10000000000000142</v>
      </c>
      <c r="S636" s="98">
        <v>0</v>
      </c>
      <c r="T636" s="99">
        <v>0</v>
      </c>
      <c r="U636" s="99">
        <v>0</v>
      </c>
      <c r="V636" s="99">
        <v>0</v>
      </c>
      <c r="W636" s="99">
        <v>0</v>
      </c>
      <c r="X636" s="73" t="s">
        <v>16</v>
      </c>
      <c r="AC636"/>
      <c r="AD636"/>
    </row>
    <row r="637" spans="1:30" x14ac:dyDescent="0.3">
      <c r="A637" s="4">
        <v>1893</v>
      </c>
      <c r="B637">
        <v>-30.11</v>
      </c>
      <c r="C637">
        <v>-29.3</v>
      </c>
      <c r="D637">
        <f t="shared" si="60"/>
        <v>-29.265000000000001</v>
      </c>
      <c r="E637">
        <v>-28.74</v>
      </c>
      <c r="F637">
        <v>-29.14</v>
      </c>
      <c r="G637">
        <v>-29.39</v>
      </c>
      <c r="J637" s="4" t="s">
        <v>18</v>
      </c>
      <c r="K637" s="32">
        <f t="shared" si="55"/>
        <v>-29.324166666666667</v>
      </c>
      <c r="L637" s="32">
        <v>0.52500000000000213</v>
      </c>
      <c r="M637" s="32">
        <v>3.5000000000000142E-2</v>
      </c>
      <c r="N637" s="32">
        <v>0.80999999999999872</v>
      </c>
      <c r="O637" s="32">
        <v>0.70250000000000057</v>
      </c>
      <c r="P637" s="128">
        <f t="shared" si="56"/>
        <v>0.84499999999999886</v>
      </c>
      <c r="Q637" s="128">
        <f t="shared" si="57"/>
        <v>3.5000000000000142E-2</v>
      </c>
      <c r="R637" s="128">
        <f t="shared" si="58"/>
        <v>0.43999999999999773</v>
      </c>
      <c r="S637" s="98">
        <v>0</v>
      </c>
      <c r="T637" s="99">
        <v>0</v>
      </c>
      <c r="U637" s="99">
        <v>0</v>
      </c>
      <c r="V637" s="99">
        <v>0</v>
      </c>
      <c r="W637" s="99">
        <v>0</v>
      </c>
      <c r="X637" s="73" t="s">
        <v>16</v>
      </c>
      <c r="AC637"/>
      <c r="AD637"/>
    </row>
    <row r="638" spans="1:30" x14ac:dyDescent="0.3">
      <c r="A638" s="4">
        <v>1894</v>
      </c>
      <c r="B638">
        <v>-29.56</v>
      </c>
      <c r="C638">
        <v>-28.87</v>
      </c>
      <c r="D638">
        <f t="shared" si="60"/>
        <v>-28.68</v>
      </c>
      <c r="E638">
        <v>-29.2</v>
      </c>
      <c r="F638">
        <v>-28.68</v>
      </c>
      <c r="G638">
        <v>-28.68</v>
      </c>
      <c r="J638" s="4" t="s">
        <v>18</v>
      </c>
      <c r="K638" s="32">
        <f t="shared" si="55"/>
        <v>-28.945000000000004</v>
      </c>
      <c r="L638" s="32">
        <v>-0.51999999999999957</v>
      </c>
      <c r="M638" s="32">
        <v>0.19000000000000128</v>
      </c>
      <c r="N638" s="32">
        <v>0.68999999999999773</v>
      </c>
      <c r="O638" s="32">
        <v>0.27500000000000213</v>
      </c>
      <c r="P638" s="128">
        <f t="shared" si="56"/>
        <v>0.35999999999999943</v>
      </c>
      <c r="Q638" s="128">
        <f t="shared" si="57"/>
        <v>-0.32999999999999829</v>
      </c>
      <c r="R638" s="128">
        <f t="shared" si="58"/>
        <v>1.5000000000000568E-2</v>
      </c>
      <c r="S638" s="98">
        <v>0</v>
      </c>
      <c r="T638" s="99">
        <v>0</v>
      </c>
      <c r="U638" s="99">
        <v>0</v>
      </c>
      <c r="V638" s="99">
        <v>0</v>
      </c>
      <c r="W638" s="99">
        <v>0</v>
      </c>
      <c r="X638" s="73" t="s">
        <v>16</v>
      </c>
      <c r="AC638"/>
      <c r="AD638"/>
    </row>
    <row r="639" spans="1:30" x14ac:dyDescent="0.3">
      <c r="A639" s="4">
        <v>1895</v>
      </c>
      <c r="B639">
        <v>-29.71</v>
      </c>
      <c r="C639">
        <v>-28.82</v>
      </c>
      <c r="D639">
        <f t="shared" si="60"/>
        <v>-28.3</v>
      </c>
      <c r="E639">
        <v>-28.84</v>
      </c>
      <c r="F639">
        <v>-28.3</v>
      </c>
      <c r="G639">
        <v>-28.3</v>
      </c>
      <c r="J639" s="4" t="s">
        <v>18</v>
      </c>
      <c r="K639" s="32">
        <f t="shared" si="55"/>
        <v>-28.71166666666667</v>
      </c>
      <c r="L639" s="32">
        <v>-0.53999999999999915</v>
      </c>
      <c r="M639" s="32">
        <v>0.51999999999999957</v>
      </c>
      <c r="N639" s="32">
        <v>0.89000000000000057</v>
      </c>
      <c r="O639" s="32">
        <v>0.69500000000000028</v>
      </c>
      <c r="P639" s="128">
        <f t="shared" si="56"/>
        <v>0.87000000000000099</v>
      </c>
      <c r="Q639" s="128">
        <f t="shared" si="57"/>
        <v>-1.9999999999999574E-2</v>
      </c>
      <c r="R639" s="128">
        <f t="shared" si="58"/>
        <v>0.42500000000000071</v>
      </c>
      <c r="S639" s="98">
        <v>0</v>
      </c>
      <c r="T639" s="99">
        <v>0</v>
      </c>
      <c r="U639" s="99">
        <v>0</v>
      </c>
      <c r="V639" s="99">
        <v>0</v>
      </c>
      <c r="W639" s="99">
        <v>0</v>
      </c>
      <c r="X639" s="73" t="s">
        <v>16</v>
      </c>
      <c r="AC639"/>
      <c r="AD639"/>
    </row>
    <row r="640" spans="1:30" x14ac:dyDescent="0.3">
      <c r="A640" s="4">
        <v>1896</v>
      </c>
      <c r="B640">
        <v>-30.58</v>
      </c>
      <c r="C640">
        <v>-29.6</v>
      </c>
      <c r="D640">
        <f t="shared" si="60"/>
        <v>-29.405000000000001</v>
      </c>
      <c r="E640">
        <v>-30.11</v>
      </c>
      <c r="F640">
        <v>-29.48</v>
      </c>
      <c r="G640">
        <v>-29.33</v>
      </c>
      <c r="J640" s="4" t="s">
        <v>18</v>
      </c>
      <c r="K640" s="32">
        <f t="shared" si="55"/>
        <v>-29.750833333333333</v>
      </c>
      <c r="L640" s="32">
        <v>-0.70499999999999829</v>
      </c>
      <c r="M640" s="32">
        <v>0.19500000000000028</v>
      </c>
      <c r="N640" s="32">
        <v>0.97999999999999687</v>
      </c>
      <c r="O640" s="32">
        <v>0.33249999999999957</v>
      </c>
      <c r="P640" s="128">
        <f t="shared" si="56"/>
        <v>0.46999999999999886</v>
      </c>
      <c r="Q640" s="128">
        <f t="shared" si="57"/>
        <v>-0.50999999999999801</v>
      </c>
      <c r="R640" s="128">
        <f t="shared" si="58"/>
        <v>-1.9999999999999574E-2</v>
      </c>
      <c r="S640" s="98">
        <v>0</v>
      </c>
      <c r="T640" s="99">
        <v>0</v>
      </c>
      <c r="U640" s="99">
        <v>0</v>
      </c>
      <c r="V640" s="99">
        <v>0</v>
      </c>
      <c r="W640" s="99">
        <v>0</v>
      </c>
      <c r="X640" s="73" t="s">
        <v>16</v>
      </c>
      <c r="AC640"/>
      <c r="AD640"/>
    </row>
    <row r="641" spans="1:30" x14ac:dyDescent="0.3">
      <c r="A641" s="4">
        <v>1896</v>
      </c>
      <c r="B641">
        <v>-30.58</v>
      </c>
      <c r="C641">
        <v>-29.6</v>
      </c>
      <c r="D641">
        <f t="shared" si="60"/>
        <v>-29.405000000000001</v>
      </c>
      <c r="E641">
        <v>-30.11</v>
      </c>
      <c r="F641">
        <v>-29.48</v>
      </c>
      <c r="G641">
        <v>-29.33</v>
      </c>
      <c r="J641" s="4" t="s">
        <v>18</v>
      </c>
      <c r="K641" s="32">
        <f t="shared" si="55"/>
        <v>-29.750833333333333</v>
      </c>
      <c r="L641" s="32">
        <v>-0.70499999999999829</v>
      </c>
      <c r="M641" s="32">
        <v>0.19500000000000028</v>
      </c>
      <c r="N641" s="32">
        <v>0.97999999999999687</v>
      </c>
      <c r="O641" s="32">
        <v>0.33249999999999957</v>
      </c>
      <c r="P641" s="128">
        <f t="shared" si="56"/>
        <v>0.46999999999999886</v>
      </c>
      <c r="Q641" s="128">
        <f t="shared" si="57"/>
        <v>-0.50999999999999801</v>
      </c>
      <c r="R641" s="128">
        <f t="shared" si="58"/>
        <v>-1.9999999999999574E-2</v>
      </c>
      <c r="S641" s="98">
        <v>0</v>
      </c>
      <c r="T641" s="99">
        <v>0</v>
      </c>
      <c r="U641" s="99">
        <v>0</v>
      </c>
      <c r="V641" s="99">
        <v>0</v>
      </c>
      <c r="W641" s="99">
        <v>0</v>
      </c>
      <c r="X641" s="73" t="s">
        <v>16</v>
      </c>
      <c r="AC641"/>
      <c r="AD641"/>
    </row>
    <row r="642" spans="1:30" x14ac:dyDescent="0.3">
      <c r="A642" s="4">
        <v>1898</v>
      </c>
      <c r="B642">
        <v>-31.05</v>
      </c>
      <c r="C642">
        <v>-30.21</v>
      </c>
      <c r="D642">
        <f t="shared" si="60"/>
        <v>-30.254999999999999</v>
      </c>
      <c r="E642">
        <v>-30.31</v>
      </c>
      <c r="F642">
        <v>-29.97</v>
      </c>
      <c r="G642">
        <v>-30.54</v>
      </c>
      <c r="J642" s="4" t="s">
        <v>18</v>
      </c>
      <c r="K642" s="32">
        <f t="shared" si="55"/>
        <v>-30.389166666666668</v>
      </c>
      <c r="L642" s="32">
        <v>-5.4999999999999716E-2</v>
      </c>
      <c r="M642" s="32">
        <v>-4.4999999999998153E-2</v>
      </c>
      <c r="N642" s="32">
        <v>0.83999999999999986</v>
      </c>
      <c r="O642" s="32">
        <v>0.34750000000000369</v>
      </c>
      <c r="P642" s="128">
        <f t="shared" si="56"/>
        <v>0.74000000000000199</v>
      </c>
      <c r="Q642" s="128">
        <f t="shared" si="57"/>
        <v>-9.9999999999997868E-2</v>
      </c>
      <c r="R642" s="128">
        <f t="shared" si="58"/>
        <v>0.32000000000000384</v>
      </c>
      <c r="S642" s="98">
        <v>0</v>
      </c>
      <c r="T642" s="99">
        <v>0</v>
      </c>
      <c r="U642" s="99">
        <v>0</v>
      </c>
      <c r="V642" s="99">
        <v>0</v>
      </c>
      <c r="W642" s="99">
        <v>0</v>
      </c>
      <c r="X642" s="73" t="s">
        <v>16</v>
      </c>
      <c r="AC642"/>
      <c r="AD642"/>
    </row>
    <row r="643" spans="1:30" x14ac:dyDescent="0.3">
      <c r="A643" s="4">
        <v>1899</v>
      </c>
      <c r="B643">
        <v>-30.21</v>
      </c>
      <c r="C643">
        <v>-29.57</v>
      </c>
      <c r="D643">
        <f t="shared" si="60"/>
        <v>-30.240000000000002</v>
      </c>
      <c r="E643">
        <v>-30.29</v>
      </c>
      <c r="F643">
        <v>-30.18</v>
      </c>
      <c r="G643">
        <v>-30.3</v>
      </c>
      <c r="J643" s="4" t="s">
        <v>18</v>
      </c>
      <c r="K643" s="32">
        <f t="shared" ref="K643:K666" si="61">AVERAGE(B643:G643)</f>
        <v>-30.131666666666671</v>
      </c>
      <c r="L643" s="32">
        <v>-4.9999999999997158E-2</v>
      </c>
      <c r="M643" s="32">
        <v>-0.67000000000000171</v>
      </c>
      <c r="N643" s="32">
        <v>0.64000000000000057</v>
      </c>
      <c r="O643" s="32">
        <v>-0.375</v>
      </c>
      <c r="P643" s="128">
        <f t="shared" ref="P643:P706" si="62">IF(OR(E643="", D643="", B643="", C643=""), "", MIN(E643,D643)-MIN(B643,C643))</f>
        <v>-7.9999999999998295E-2</v>
      </c>
      <c r="Q643" s="128">
        <f t="shared" ref="Q643:Q706" si="63">IF(OR(E643="", D643="", B643="", C643=""), "", MIN(E643,D643)-MAX(B643,C643))</f>
        <v>-0.71999999999999886</v>
      </c>
      <c r="R643" s="128">
        <f t="shared" ref="R643:R706" si="64">IF(OR(E643="", D643="", B643="", C643=""), "", MIN(E643,D643)-AVERAGE(B643,C643))</f>
        <v>-0.39999999999999858</v>
      </c>
      <c r="S643" s="98">
        <v>0</v>
      </c>
      <c r="T643" s="99">
        <v>0</v>
      </c>
      <c r="U643" s="99">
        <v>0</v>
      </c>
      <c r="V643" s="99">
        <v>0</v>
      </c>
      <c r="W643" s="99">
        <v>0</v>
      </c>
      <c r="X643" s="73" t="s">
        <v>16</v>
      </c>
      <c r="AC643"/>
      <c r="AD643"/>
    </row>
    <row r="644" spans="1:30" x14ac:dyDescent="0.3">
      <c r="A644" s="4">
        <v>1901</v>
      </c>
      <c r="B644">
        <v>-29.65</v>
      </c>
      <c r="C644">
        <v>-28.38</v>
      </c>
      <c r="D644">
        <f t="shared" si="60"/>
        <v>-28.26</v>
      </c>
      <c r="E644">
        <v>-27.72</v>
      </c>
      <c r="F644">
        <v>-28.26</v>
      </c>
      <c r="G644">
        <v>-28.26</v>
      </c>
      <c r="J644" s="4" t="s">
        <v>18</v>
      </c>
      <c r="K644" s="32">
        <f t="shared" si="61"/>
        <v>-28.421666666666667</v>
      </c>
      <c r="L644" s="32">
        <v>0.5400000000000027</v>
      </c>
      <c r="M644" s="32">
        <v>0.11999999999999744</v>
      </c>
      <c r="N644" s="32">
        <v>1.2699999999999996</v>
      </c>
      <c r="O644" s="32">
        <v>1.0249999999999986</v>
      </c>
      <c r="P644" s="128">
        <f t="shared" si="62"/>
        <v>1.389999999999997</v>
      </c>
      <c r="Q644" s="128">
        <f t="shared" si="63"/>
        <v>0.11999999999999744</v>
      </c>
      <c r="R644" s="128">
        <f t="shared" si="64"/>
        <v>0.75499999999999901</v>
      </c>
      <c r="S644" s="98">
        <v>0</v>
      </c>
      <c r="T644" s="99">
        <v>0</v>
      </c>
      <c r="U644" s="99">
        <v>0</v>
      </c>
      <c r="V644" s="99">
        <v>0</v>
      </c>
      <c r="W644" s="99">
        <v>0</v>
      </c>
      <c r="X644" s="73" t="s">
        <v>16</v>
      </c>
      <c r="AC644"/>
      <c r="AD644"/>
    </row>
    <row r="645" spans="1:30" x14ac:dyDescent="0.3">
      <c r="A645" s="4">
        <v>1902</v>
      </c>
      <c r="B645">
        <v>-31.51</v>
      </c>
      <c r="C645">
        <v>-28.73</v>
      </c>
      <c r="D645">
        <f t="shared" si="60"/>
        <v>-29.020000000000003</v>
      </c>
      <c r="E645">
        <v>-31.08</v>
      </c>
      <c r="F645">
        <v>-29.01</v>
      </c>
      <c r="G645">
        <v>-29.03</v>
      </c>
      <c r="J645" s="4" t="s">
        <v>18</v>
      </c>
      <c r="K645" s="32">
        <f t="shared" si="61"/>
        <v>-29.73</v>
      </c>
      <c r="L645" s="32">
        <v>-2.0599999999999952</v>
      </c>
      <c r="M645" s="32">
        <v>-0.2900000000000027</v>
      </c>
      <c r="N645" s="32">
        <v>2.7800000000000011</v>
      </c>
      <c r="O645" s="32">
        <v>7.0000000000000284E-2</v>
      </c>
      <c r="P645" s="128">
        <f t="shared" si="62"/>
        <v>0.43000000000000327</v>
      </c>
      <c r="Q645" s="128">
        <f t="shared" si="63"/>
        <v>-2.3499999999999979</v>
      </c>
      <c r="R645" s="128">
        <f t="shared" si="64"/>
        <v>-0.9599999999999973</v>
      </c>
      <c r="S645" s="98">
        <v>0</v>
      </c>
      <c r="T645" s="99">
        <v>0</v>
      </c>
      <c r="U645" s="99">
        <v>0</v>
      </c>
      <c r="V645" s="99">
        <v>0</v>
      </c>
      <c r="W645" s="99">
        <v>0</v>
      </c>
      <c r="X645" s="73" t="s">
        <v>16</v>
      </c>
      <c r="AC645"/>
      <c r="AD645"/>
    </row>
    <row r="646" spans="1:30" x14ac:dyDescent="0.3">
      <c r="A646" s="4">
        <v>1903</v>
      </c>
      <c r="B646">
        <v>-29.73</v>
      </c>
      <c r="C646">
        <v>-29.07</v>
      </c>
      <c r="D646">
        <f t="shared" si="60"/>
        <v>-28.024999999999999</v>
      </c>
      <c r="E646">
        <v>-29.26</v>
      </c>
      <c r="F646">
        <v>-28.05</v>
      </c>
      <c r="G646">
        <v>-28</v>
      </c>
      <c r="J646" s="4" t="s">
        <v>18</v>
      </c>
      <c r="K646" s="32">
        <f t="shared" si="61"/>
        <v>-28.689166666666665</v>
      </c>
      <c r="L646" s="32">
        <v>-1.235000000000003</v>
      </c>
      <c r="M646" s="32">
        <v>1.0450000000000017</v>
      </c>
      <c r="N646" s="32">
        <v>0.66000000000000014</v>
      </c>
      <c r="O646" s="32">
        <v>0.75750000000000028</v>
      </c>
      <c r="P646" s="128">
        <f t="shared" si="62"/>
        <v>0.46999999999999886</v>
      </c>
      <c r="Q646" s="128">
        <f t="shared" si="63"/>
        <v>-0.19000000000000128</v>
      </c>
      <c r="R646" s="128">
        <f t="shared" si="64"/>
        <v>0.13999999999999702</v>
      </c>
      <c r="S646" s="98">
        <v>0</v>
      </c>
      <c r="T646" s="99">
        <v>0</v>
      </c>
      <c r="U646" s="99">
        <v>0</v>
      </c>
      <c r="V646" s="99">
        <v>0</v>
      </c>
      <c r="W646" s="99">
        <v>0</v>
      </c>
      <c r="X646" s="73" t="s">
        <v>16</v>
      </c>
      <c r="AC646"/>
      <c r="AD646"/>
    </row>
    <row r="647" spans="1:30" x14ac:dyDescent="0.3">
      <c r="A647" s="4">
        <v>1904</v>
      </c>
      <c r="B647">
        <v>-30.1</v>
      </c>
      <c r="C647">
        <v>-29.4</v>
      </c>
      <c r="D647">
        <f t="shared" si="60"/>
        <v>-29.200000000000003</v>
      </c>
      <c r="E647">
        <v>-29.5</v>
      </c>
      <c r="F647">
        <v>-28.8</v>
      </c>
      <c r="G647">
        <v>-29.6</v>
      </c>
      <c r="J647" s="4" t="s">
        <v>18</v>
      </c>
      <c r="K647" s="32">
        <f t="shared" si="61"/>
        <v>-29.433333333333334</v>
      </c>
      <c r="L647" s="32">
        <v>-0.29999999999999716</v>
      </c>
      <c r="M647" s="32">
        <v>0.19999999999999574</v>
      </c>
      <c r="N647" s="32">
        <v>0.70000000000000284</v>
      </c>
      <c r="O647" s="32">
        <v>0.39999999999999858</v>
      </c>
      <c r="P647" s="128">
        <f t="shared" si="62"/>
        <v>0.60000000000000142</v>
      </c>
      <c r="Q647" s="128">
        <f t="shared" si="63"/>
        <v>-0.10000000000000142</v>
      </c>
      <c r="R647" s="128">
        <f t="shared" si="64"/>
        <v>0.25</v>
      </c>
      <c r="S647" s="98">
        <v>0</v>
      </c>
      <c r="T647" s="99">
        <v>0</v>
      </c>
      <c r="U647" s="99">
        <v>0</v>
      </c>
      <c r="V647" s="99">
        <v>0</v>
      </c>
      <c r="W647" s="99">
        <v>0</v>
      </c>
      <c r="X647" s="73" t="s">
        <v>16</v>
      </c>
      <c r="AC647"/>
      <c r="AD647"/>
    </row>
    <row r="648" spans="1:30" x14ac:dyDescent="0.3">
      <c r="A648" s="4">
        <v>1905</v>
      </c>
      <c r="B648">
        <v>-30.4</v>
      </c>
      <c r="C648">
        <v>-29.5</v>
      </c>
      <c r="D648">
        <f t="shared" si="60"/>
        <v>-29.4</v>
      </c>
      <c r="E648">
        <v>-29.5</v>
      </c>
      <c r="F648">
        <v>-29.2</v>
      </c>
      <c r="G648">
        <v>-29.6</v>
      </c>
      <c r="J648" s="4" t="s">
        <v>18</v>
      </c>
      <c r="K648" s="32">
        <f t="shared" si="61"/>
        <v>-29.599999999999998</v>
      </c>
      <c r="L648" s="32">
        <v>-0.10000000000000142</v>
      </c>
      <c r="M648" s="32">
        <v>0.10000000000000142</v>
      </c>
      <c r="N648" s="32">
        <v>0.89999999999999858</v>
      </c>
      <c r="O648" s="32">
        <v>0.5</v>
      </c>
      <c r="P648" s="128">
        <f t="shared" si="62"/>
        <v>0.89999999999999858</v>
      </c>
      <c r="Q648" s="128">
        <f t="shared" si="63"/>
        <v>0</v>
      </c>
      <c r="R648" s="128">
        <f t="shared" si="64"/>
        <v>0.44999999999999929</v>
      </c>
      <c r="S648" s="98">
        <v>0</v>
      </c>
      <c r="T648" s="99">
        <v>0</v>
      </c>
      <c r="U648" s="99">
        <v>0</v>
      </c>
      <c r="V648" s="99">
        <v>0</v>
      </c>
      <c r="W648" s="99">
        <v>0</v>
      </c>
      <c r="X648" s="73" t="s">
        <v>16</v>
      </c>
      <c r="AC648"/>
      <c r="AD648"/>
    </row>
    <row r="649" spans="1:30" x14ac:dyDescent="0.3">
      <c r="A649" s="4">
        <v>1906</v>
      </c>
      <c r="B649">
        <v>-29.4</v>
      </c>
      <c r="C649">
        <v>-29.3</v>
      </c>
      <c r="D649">
        <f t="shared" si="60"/>
        <v>-28.950000000000003</v>
      </c>
      <c r="E649">
        <v>-29.1</v>
      </c>
      <c r="F649">
        <v>-28.8</v>
      </c>
      <c r="G649">
        <v>-29.1</v>
      </c>
      <c r="J649" s="4" t="s">
        <v>18</v>
      </c>
      <c r="K649" s="32">
        <f t="shared" si="61"/>
        <v>-29.108333333333334</v>
      </c>
      <c r="L649" s="32">
        <v>-0.14999999999999858</v>
      </c>
      <c r="M649" s="32">
        <v>0.34999999999999787</v>
      </c>
      <c r="N649" s="32">
        <v>9.9999999999997868E-2</v>
      </c>
      <c r="O649" s="32">
        <v>0.32499999999999929</v>
      </c>
      <c r="P649" s="128">
        <f t="shared" si="62"/>
        <v>0.29999999999999716</v>
      </c>
      <c r="Q649" s="128">
        <f t="shared" si="63"/>
        <v>0.19999999999999929</v>
      </c>
      <c r="R649" s="128">
        <f t="shared" si="64"/>
        <v>0.25</v>
      </c>
      <c r="S649" s="98">
        <v>0</v>
      </c>
      <c r="T649" s="99">
        <v>0</v>
      </c>
      <c r="U649" s="99">
        <v>0</v>
      </c>
      <c r="V649" s="99">
        <v>0</v>
      </c>
      <c r="W649" s="99">
        <v>0</v>
      </c>
      <c r="X649" s="73" t="s">
        <v>16</v>
      </c>
      <c r="AC649"/>
      <c r="AD649"/>
    </row>
    <row r="650" spans="1:30" x14ac:dyDescent="0.3">
      <c r="A650" s="4">
        <v>1907</v>
      </c>
      <c r="B650">
        <v>-28.7</v>
      </c>
      <c r="C650">
        <v>-27.7</v>
      </c>
      <c r="D650">
        <f t="shared" si="60"/>
        <v>-28.5</v>
      </c>
      <c r="E650">
        <v>-28.4</v>
      </c>
      <c r="F650">
        <v>-28.6</v>
      </c>
      <c r="G650">
        <v>-28.4</v>
      </c>
      <c r="J650" s="4" t="s">
        <v>18</v>
      </c>
      <c r="K650" s="32">
        <f t="shared" si="61"/>
        <v>-28.383333333333336</v>
      </c>
      <c r="L650" s="32">
        <v>0.10000000000000142</v>
      </c>
      <c r="M650" s="32">
        <v>-0.80000000000000071</v>
      </c>
      <c r="N650" s="32">
        <v>1</v>
      </c>
      <c r="O650" s="32">
        <v>-0.25</v>
      </c>
      <c r="P650" s="128">
        <f t="shared" si="62"/>
        <v>0.19999999999999929</v>
      </c>
      <c r="Q650" s="128">
        <f t="shared" si="63"/>
        <v>-0.80000000000000071</v>
      </c>
      <c r="R650" s="128">
        <f t="shared" si="64"/>
        <v>-0.30000000000000071</v>
      </c>
      <c r="S650" s="98">
        <v>0</v>
      </c>
      <c r="T650" s="99">
        <v>0</v>
      </c>
      <c r="U650" s="99">
        <v>0</v>
      </c>
      <c r="V650" s="99">
        <v>0</v>
      </c>
      <c r="W650" s="99">
        <v>0</v>
      </c>
      <c r="X650" s="73" t="s">
        <v>16</v>
      </c>
      <c r="AC650"/>
      <c r="AD650"/>
    </row>
    <row r="651" spans="1:30" x14ac:dyDescent="0.3">
      <c r="A651" s="4">
        <v>1908</v>
      </c>
      <c r="B651">
        <v>-29</v>
      </c>
      <c r="C651">
        <v>-29.2</v>
      </c>
      <c r="D651">
        <f t="shared" si="60"/>
        <v>-29.1</v>
      </c>
      <c r="E651">
        <v>-30</v>
      </c>
      <c r="F651">
        <v>-29</v>
      </c>
      <c r="G651">
        <v>-29.2</v>
      </c>
      <c r="J651" s="4" t="s">
        <v>18</v>
      </c>
      <c r="K651" s="32">
        <f t="shared" si="61"/>
        <v>-29.25</v>
      </c>
      <c r="L651" s="32">
        <v>-0.89999999999999858</v>
      </c>
      <c r="M651" s="32">
        <v>9.9999999999997868E-2</v>
      </c>
      <c r="N651" s="32">
        <v>-0.19999999999999929</v>
      </c>
      <c r="O651" s="32">
        <v>-0.44999999999999929</v>
      </c>
      <c r="P651" s="128">
        <f t="shared" si="62"/>
        <v>-0.80000000000000071</v>
      </c>
      <c r="Q651" s="128">
        <f t="shared" si="63"/>
        <v>-1</v>
      </c>
      <c r="R651" s="128">
        <f t="shared" si="64"/>
        <v>-0.89999999999999858</v>
      </c>
      <c r="S651" s="98">
        <v>0</v>
      </c>
      <c r="T651" s="99">
        <v>1</v>
      </c>
      <c r="U651" s="99">
        <v>1</v>
      </c>
      <c r="V651" s="99">
        <v>1</v>
      </c>
      <c r="W651" s="99">
        <v>0</v>
      </c>
      <c r="X651" s="73" t="s">
        <v>16</v>
      </c>
      <c r="AC651"/>
      <c r="AD651"/>
    </row>
    <row r="652" spans="1:30" x14ac:dyDescent="0.3">
      <c r="A652" s="4">
        <v>1909</v>
      </c>
      <c r="B652">
        <v>-29.6</v>
      </c>
      <c r="C652">
        <v>-30.9</v>
      </c>
      <c r="D652">
        <f t="shared" si="60"/>
        <v>-28.95</v>
      </c>
      <c r="E652">
        <v>-29.7</v>
      </c>
      <c r="F652">
        <v>-28.9</v>
      </c>
      <c r="G652">
        <v>-29</v>
      </c>
      <c r="J652" s="4" t="s">
        <v>18</v>
      </c>
      <c r="K652" s="32">
        <f t="shared" si="61"/>
        <v>-29.508333333333336</v>
      </c>
      <c r="L652" s="32">
        <v>-0.75</v>
      </c>
      <c r="M652" s="32">
        <v>1.9499999999999993</v>
      </c>
      <c r="N652" s="32">
        <v>-1.2999999999999972</v>
      </c>
      <c r="O652" s="32">
        <v>0.92500000000000071</v>
      </c>
      <c r="P652" s="128">
        <f t="shared" si="62"/>
        <v>1.1999999999999993</v>
      </c>
      <c r="Q652" s="128">
        <f t="shared" si="63"/>
        <v>-9.9999999999997868E-2</v>
      </c>
      <c r="R652" s="128">
        <f t="shared" si="64"/>
        <v>0.55000000000000071</v>
      </c>
      <c r="S652" s="98">
        <v>0</v>
      </c>
      <c r="T652" s="99">
        <v>1</v>
      </c>
      <c r="U652" s="99">
        <v>1</v>
      </c>
      <c r="V652" s="99">
        <v>1</v>
      </c>
      <c r="W652" s="99">
        <v>0</v>
      </c>
      <c r="X652" s="73" t="s">
        <v>16</v>
      </c>
      <c r="AC652"/>
      <c r="AD652"/>
    </row>
    <row r="653" spans="1:30" x14ac:dyDescent="0.3">
      <c r="A653" s="4">
        <v>1910</v>
      </c>
      <c r="B653">
        <v>-27.9</v>
      </c>
      <c r="C653">
        <v>-28.2</v>
      </c>
      <c r="D653">
        <f t="shared" si="60"/>
        <v>-28.15</v>
      </c>
      <c r="E653">
        <v>-29.1</v>
      </c>
      <c r="F653">
        <v>-27.9</v>
      </c>
      <c r="G653">
        <v>-28.4</v>
      </c>
      <c r="J653" s="4" t="s">
        <v>18</v>
      </c>
      <c r="K653" s="32">
        <f t="shared" si="61"/>
        <v>-28.275000000000002</v>
      </c>
      <c r="L653" s="32">
        <v>-0.95000000000000284</v>
      </c>
      <c r="M653" s="32">
        <v>5.0000000000000711E-2</v>
      </c>
      <c r="N653" s="32">
        <v>-0.30000000000000071</v>
      </c>
      <c r="O653" s="32">
        <v>-0.57500000000000284</v>
      </c>
      <c r="P653" s="128">
        <f t="shared" si="62"/>
        <v>-0.90000000000000213</v>
      </c>
      <c r="Q653" s="128">
        <f t="shared" si="63"/>
        <v>-1.2000000000000028</v>
      </c>
      <c r="R653" s="128">
        <f t="shared" si="64"/>
        <v>-1.0500000000000043</v>
      </c>
      <c r="S653" s="98">
        <v>0</v>
      </c>
      <c r="T653" s="99">
        <v>1</v>
      </c>
      <c r="U653" s="99">
        <v>1</v>
      </c>
      <c r="V653" s="99">
        <v>1</v>
      </c>
      <c r="W653" s="99">
        <v>0</v>
      </c>
      <c r="X653" s="73" t="s">
        <v>16</v>
      </c>
      <c r="AC653"/>
      <c r="AD653"/>
    </row>
    <row r="654" spans="1:30" x14ac:dyDescent="0.3">
      <c r="A654" s="4">
        <v>1911</v>
      </c>
      <c r="B654">
        <v>-24.65</v>
      </c>
      <c r="C654">
        <v>-24.67</v>
      </c>
      <c r="D654">
        <f t="shared" si="60"/>
        <v>-27.305</v>
      </c>
      <c r="E654">
        <v>-25.83</v>
      </c>
      <c r="F654">
        <v>-29.21</v>
      </c>
      <c r="G654">
        <v>-25.4</v>
      </c>
      <c r="J654" s="33" t="s">
        <v>19</v>
      </c>
      <c r="K654" s="32">
        <f t="shared" si="61"/>
        <v>-26.177499999999998</v>
      </c>
      <c r="L654" s="32">
        <v>1.4750000000000014</v>
      </c>
      <c r="M654" s="32">
        <v>-2.634999999999998</v>
      </c>
      <c r="N654" s="32">
        <v>-2.0000000000003126E-2</v>
      </c>
      <c r="O654" s="32">
        <v>-1.9074999999999989</v>
      </c>
      <c r="P654" s="128">
        <f t="shared" si="62"/>
        <v>-2.634999999999998</v>
      </c>
      <c r="Q654" s="128">
        <f t="shared" si="63"/>
        <v>-2.6550000000000011</v>
      </c>
      <c r="R654" s="128">
        <f t="shared" si="64"/>
        <v>-2.6449999999999996</v>
      </c>
      <c r="S654" s="98">
        <v>1</v>
      </c>
      <c r="T654" s="99">
        <v>1</v>
      </c>
      <c r="U654" s="99">
        <v>1</v>
      </c>
      <c r="V654" s="99">
        <v>1</v>
      </c>
      <c r="W654" s="99">
        <v>0</v>
      </c>
      <c r="X654" s="73" t="s">
        <v>16</v>
      </c>
      <c r="AC654"/>
      <c r="AD654"/>
    </row>
    <row r="655" spans="1:30" x14ac:dyDescent="0.3">
      <c r="A655" s="4">
        <v>1912</v>
      </c>
      <c r="B655">
        <v>-31.69</v>
      </c>
      <c r="C655">
        <v>-30.56</v>
      </c>
      <c r="D655">
        <f t="shared" si="60"/>
        <v>-29.369999999999997</v>
      </c>
      <c r="E655">
        <v>-30.12</v>
      </c>
      <c r="F655">
        <v>-29.61</v>
      </c>
      <c r="G655">
        <v>-29.13</v>
      </c>
      <c r="J655" s="4" t="s">
        <v>18</v>
      </c>
      <c r="K655" s="32">
        <f t="shared" si="61"/>
        <v>-30.080000000000002</v>
      </c>
      <c r="L655" s="32">
        <v>-0.75000000000000355</v>
      </c>
      <c r="M655" s="32">
        <v>1.1900000000000013</v>
      </c>
      <c r="N655" s="32">
        <v>1.1300000000000026</v>
      </c>
      <c r="O655" s="32">
        <v>1.3800000000000026</v>
      </c>
      <c r="P655" s="128">
        <f t="shared" si="62"/>
        <v>1.5700000000000003</v>
      </c>
      <c r="Q655" s="128">
        <f t="shared" si="63"/>
        <v>0.43999999999999773</v>
      </c>
      <c r="R655" s="128">
        <f t="shared" si="64"/>
        <v>1.004999999999999</v>
      </c>
      <c r="S655" s="98">
        <v>0</v>
      </c>
      <c r="T655" s="99">
        <v>0</v>
      </c>
      <c r="U655" s="99">
        <v>0</v>
      </c>
      <c r="V655" s="99">
        <v>0</v>
      </c>
      <c r="W655" s="99">
        <v>0</v>
      </c>
      <c r="X655" s="73" t="s">
        <v>16</v>
      </c>
      <c r="AC655"/>
      <c r="AD655"/>
    </row>
    <row r="656" spans="1:30" x14ac:dyDescent="0.3">
      <c r="A656" s="4">
        <v>1913</v>
      </c>
      <c r="B656">
        <v>-30.53</v>
      </c>
      <c r="C656">
        <v>-29.38</v>
      </c>
      <c r="D656">
        <f t="shared" ref="D656:D666" si="65">IF(AND(ISBLANK(F656),ISBLANK(G656)),"",IF(ISBLANK(F656),G656,IF(ISBLANK(G656),F656,(G656+F656)/2)))</f>
        <v>-29.945</v>
      </c>
      <c r="E656">
        <v>-28.64</v>
      </c>
      <c r="F656">
        <v>-31.13</v>
      </c>
      <c r="G656">
        <v>-28.76</v>
      </c>
      <c r="J656" s="4" t="s">
        <v>18</v>
      </c>
      <c r="K656" s="32">
        <f t="shared" si="61"/>
        <v>-29.730833333333333</v>
      </c>
      <c r="L656" s="32">
        <v>1.3049999999999997</v>
      </c>
      <c r="M656" s="32">
        <v>-0.56500000000000128</v>
      </c>
      <c r="N656" s="32">
        <v>1.1500000000000021</v>
      </c>
      <c r="O656" s="32">
        <v>0.66249999999999787</v>
      </c>
      <c r="P656" s="128">
        <f t="shared" si="62"/>
        <v>0.58500000000000085</v>
      </c>
      <c r="Q656" s="128">
        <f t="shared" si="63"/>
        <v>-0.56500000000000128</v>
      </c>
      <c r="R656" s="128">
        <f t="shared" si="64"/>
        <v>9.9999999999980105E-3</v>
      </c>
      <c r="S656" s="98">
        <v>1</v>
      </c>
      <c r="T656" s="99">
        <v>0</v>
      </c>
      <c r="U656" s="99">
        <v>0</v>
      </c>
      <c r="V656" s="99">
        <v>0</v>
      </c>
      <c r="W656" s="99">
        <v>0</v>
      </c>
      <c r="X656" s="73" t="s">
        <v>16</v>
      </c>
      <c r="AC656"/>
      <c r="AD656"/>
    </row>
    <row r="657" spans="1:30" x14ac:dyDescent="0.3">
      <c r="A657" s="4">
        <v>1914</v>
      </c>
      <c r="B657">
        <v>-31.64</v>
      </c>
      <c r="C657">
        <v>-29.11</v>
      </c>
      <c r="D657">
        <f t="shared" si="65"/>
        <v>-29.225000000000001</v>
      </c>
      <c r="E657">
        <v>-28.86</v>
      </c>
      <c r="F657">
        <v>-28.78</v>
      </c>
      <c r="G657">
        <v>-29.67</v>
      </c>
      <c r="J657" s="4" t="s">
        <v>18</v>
      </c>
      <c r="K657" s="32">
        <f t="shared" si="61"/>
        <v>-29.547500000000003</v>
      </c>
      <c r="L657" s="32">
        <v>0.36500000000000199</v>
      </c>
      <c r="M657" s="32">
        <v>-0.11500000000000199</v>
      </c>
      <c r="N657" s="32">
        <v>2.5300000000000011</v>
      </c>
      <c r="O657" s="32">
        <v>1.3324999999999996</v>
      </c>
      <c r="P657" s="128">
        <f t="shared" si="62"/>
        <v>2.4149999999999991</v>
      </c>
      <c r="Q657" s="128">
        <f t="shared" si="63"/>
        <v>-0.11500000000000199</v>
      </c>
      <c r="R657" s="128">
        <f t="shared" si="64"/>
        <v>1.1499999999999986</v>
      </c>
      <c r="S657" s="98">
        <v>0</v>
      </c>
      <c r="T657" s="99">
        <v>0</v>
      </c>
      <c r="U657" s="99">
        <v>0</v>
      </c>
      <c r="V657" s="99">
        <v>0</v>
      </c>
      <c r="W657" s="99">
        <v>1</v>
      </c>
      <c r="X657" s="73" t="s">
        <v>16</v>
      </c>
      <c r="AC657"/>
      <c r="AD657"/>
    </row>
    <row r="658" spans="1:30" x14ac:dyDescent="0.3">
      <c r="A658" s="4">
        <v>1915</v>
      </c>
      <c r="B658">
        <v>-31.25</v>
      </c>
      <c r="C658">
        <v>-29.14</v>
      </c>
      <c r="D658">
        <f t="shared" si="65"/>
        <v>-29.54</v>
      </c>
      <c r="E658">
        <v>-28.25</v>
      </c>
      <c r="F658">
        <v>-28.57</v>
      </c>
      <c r="G658">
        <v>-30.51</v>
      </c>
      <c r="J658" s="4" t="s">
        <v>18</v>
      </c>
      <c r="K658" s="32">
        <f t="shared" si="61"/>
        <v>-29.543333333333333</v>
      </c>
      <c r="L658" s="32">
        <v>1.2899999999999991</v>
      </c>
      <c r="M658" s="32">
        <v>-0.39999999999999858</v>
      </c>
      <c r="N658" s="32">
        <v>2.1099999999999994</v>
      </c>
      <c r="O658" s="32">
        <v>1.3000000000000007</v>
      </c>
      <c r="P658" s="128">
        <f t="shared" si="62"/>
        <v>1.7100000000000009</v>
      </c>
      <c r="Q658" s="128">
        <f t="shared" si="63"/>
        <v>-0.39999999999999858</v>
      </c>
      <c r="R658" s="128">
        <f t="shared" si="64"/>
        <v>0.65500000000000114</v>
      </c>
      <c r="S658" s="98">
        <v>1</v>
      </c>
      <c r="T658" s="99">
        <v>0</v>
      </c>
      <c r="U658" s="99">
        <v>0</v>
      </c>
      <c r="V658" s="99">
        <v>0</v>
      </c>
      <c r="W658" s="99">
        <v>1</v>
      </c>
      <c r="X658" s="73" t="s">
        <v>16</v>
      </c>
      <c r="AC658"/>
      <c r="AD658"/>
    </row>
    <row r="659" spans="1:30" x14ac:dyDescent="0.3">
      <c r="A659" s="4">
        <v>1916</v>
      </c>
      <c r="B659">
        <v>-30.66</v>
      </c>
      <c r="C659">
        <v>-29.3</v>
      </c>
      <c r="D659">
        <f t="shared" si="65"/>
        <v>-28.45</v>
      </c>
      <c r="E659">
        <v>-28.9</v>
      </c>
      <c r="F659">
        <v>-28</v>
      </c>
      <c r="G659">
        <v>-28.9</v>
      </c>
      <c r="J659" s="4" t="s">
        <v>18</v>
      </c>
      <c r="K659" s="32">
        <f t="shared" si="61"/>
        <v>-29.035</v>
      </c>
      <c r="L659" s="32">
        <v>-0.44999999999999929</v>
      </c>
      <c r="M659" s="32">
        <v>0.85000000000000142</v>
      </c>
      <c r="N659" s="32">
        <v>1.3599999999999994</v>
      </c>
      <c r="O659" s="32">
        <v>1.3050000000000033</v>
      </c>
      <c r="P659" s="128">
        <f t="shared" si="62"/>
        <v>1.7600000000000016</v>
      </c>
      <c r="Q659" s="128">
        <f t="shared" si="63"/>
        <v>0.40000000000000213</v>
      </c>
      <c r="R659" s="128">
        <f t="shared" si="64"/>
        <v>1.0800000000000018</v>
      </c>
      <c r="S659" s="98">
        <v>0</v>
      </c>
      <c r="T659" s="99">
        <v>0</v>
      </c>
      <c r="U659" s="99">
        <v>0</v>
      </c>
      <c r="V659" s="99">
        <v>0</v>
      </c>
      <c r="W659" s="99">
        <v>0</v>
      </c>
      <c r="X659" s="73" t="s">
        <v>16</v>
      </c>
      <c r="AC659"/>
      <c r="AD659"/>
    </row>
    <row r="660" spans="1:30" x14ac:dyDescent="0.3">
      <c r="A660" s="4">
        <v>1917</v>
      </c>
      <c r="B660">
        <v>-31.1</v>
      </c>
      <c r="C660">
        <v>-28.2</v>
      </c>
      <c r="D660">
        <f t="shared" si="65"/>
        <v>-28.95</v>
      </c>
      <c r="E660">
        <v>-28.7</v>
      </c>
      <c r="F660">
        <v>-29.2</v>
      </c>
      <c r="G660">
        <v>-28.7</v>
      </c>
      <c r="J660" s="4" t="s">
        <v>18</v>
      </c>
      <c r="K660" s="32">
        <f t="shared" si="61"/>
        <v>-29.141666666666666</v>
      </c>
      <c r="L660" s="32">
        <v>0.25</v>
      </c>
      <c r="M660" s="32">
        <v>-0.75</v>
      </c>
      <c r="N660" s="32">
        <v>2.9000000000000021</v>
      </c>
      <c r="O660" s="32">
        <v>0.82499999999999929</v>
      </c>
      <c r="P660" s="128">
        <f t="shared" si="62"/>
        <v>2.1500000000000021</v>
      </c>
      <c r="Q660" s="128">
        <f t="shared" si="63"/>
        <v>-0.75</v>
      </c>
      <c r="R660" s="128">
        <f t="shared" si="64"/>
        <v>0.69999999999999929</v>
      </c>
      <c r="S660" s="98">
        <v>0</v>
      </c>
      <c r="T660" s="99">
        <v>0</v>
      </c>
      <c r="U660" s="99">
        <v>0</v>
      </c>
      <c r="V660" s="99">
        <v>0</v>
      </c>
      <c r="W660" s="99">
        <v>1</v>
      </c>
      <c r="X660" s="73" t="s">
        <v>16</v>
      </c>
      <c r="AC660"/>
      <c r="AD660"/>
    </row>
    <row r="661" spans="1:30" x14ac:dyDescent="0.3">
      <c r="A661" s="4">
        <v>1918</v>
      </c>
      <c r="B661">
        <v>-30.7</v>
      </c>
      <c r="C661">
        <v>-29.9</v>
      </c>
      <c r="D661">
        <f t="shared" si="65"/>
        <v>-29.9</v>
      </c>
      <c r="E661">
        <v>-29.5</v>
      </c>
      <c r="F661">
        <v>-30.1</v>
      </c>
      <c r="G661">
        <v>-29.7</v>
      </c>
      <c r="J661" s="4" t="s">
        <v>18</v>
      </c>
      <c r="K661" s="32">
        <f t="shared" si="61"/>
        <v>-29.966666666666665</v>
      </c>
      <c r="L661" s="32">
        <v>0.39999999999999858</v>
      </c>
      <c r="M661" s="32">
        <v>0</v>
      </c>
      <c r="N661" s="32">
        <v>0.80000000000000071</v>
      </c>
      <c r="O661" s="32">
        <v>0.59999999999999787</v>
      </c>
      <c r="P661" s="128">
        <f t="shared" si="62"/>
        <v>0.80000000000000071</v>
      </c>
      <c r="Q661" s="128">
        <f t="shared" si="63"/>
        <v>0</v>
      </c>
      <c r="R661" s="128">
        <f t="shared" si="64"/>
        <v>0.39999999999999858</v>
      </c>
      <c r="S661" s="98">
        <v>0</v>
      </c>
      <c r="T661" s="99">
        <v>0</v>
      </c>
      <c r="U661" s="99">
        <v>0</v>
      </c>
      <c r="V661" s="99">
        <v>0</v>
      </c>
      <c r="W661" s="99">
        <v>0</v>
      </c>
      <c r="X661" s="73" t="s">
        <v>16</v>
      </c>
      <c r="AC661"/>
      <c r="AD661"/>
    </row>
    <row r="662" spans="1:30" x14ac:dyDescent="0.3">
      <c r="A662" s="4">
        <v>1919</v>
      </c>
      <c r="B662">
        <v>-30</v>
      </c>
      <c r="C662">
        <v>-29.6</v>
      </c>
      <c r="D662">
        <f t="shared" si="65"/>
        <v>-30</v>
      </c>
      <c r="E662">
        <v>-29.8</v>
      </c>
      <c r="F662">
        <v>-29.9</v>
      </c>
      <c r="G662">
        <v>-30.1</v>
      </c>
      <c r="J662" s="4" t="s">
        <v>18</v>
      </c>
      <c r="K662" s="32">
        <f t="shared" si="61"/>
        <v>-29.899999999999995</v>
      </c>
      <c r="L662" s="32">
        <v>0.19999999999999929</v>
      </c>
      <c r="M662" s="32">
        <v>-0.39999999999999858</v>
      </c>
      <c r="N662" s="32">
        <v>0.39999999999999858</v>
      </c>
      <c r="O662" s="32">
        <v>-9.9999999999997868E-2</v>
      </c>
      <c r="P662" s="128">
        <f t="shared" si="62"/>
        <v>0</v>
      </c>
      <c r="Q662" s="128">
        <f t="shared" si="63"/>
        <v>-0.39999999999999858</v>
      </c>
      <c r="R662" s="128">
        <f t="shared" si="64"/>
        <v>-0.19999999999999929</v>
      </c>
      <c r="S662" s="98">
        <v>1</v>
      </c>
      <c r="T662" s="99">
        <v>0</v>
      </c>
      <c r="U662" s="99">
        <v>0</v>
      </c>
      <c r="V662" s="99">
        <v>0</v>
      </c>
      <c r="W662" s="99">
        <v>0</v>
      </c>
      <c r="X662" s="73" t="s">
        <v>16</v>
      </c>
      <c r="AC662"/>
      <c r="AD662"/>
    </row>
    <row r="663" spans="1:30" x14ac:dyDescent="0.3">
      <c r="A663" s="4">
        <v>1920</v>
      </c>
      <c r="B663">
        <v>-29.9</v>
      </c>
      <c r="C663">
        <v>-28.7</v>
      </c>
      <c r="D663">
        <f t="shared" si="65"/>
        <v>-29.35</v>
      </c>
      <c r="E663">
        <v>-29</v>
      </c>
      <c r="F663">
        <v>-29.3</v>
      </c>
      <c r="G663">
        <v>-29.4</v>
      </c>
      <c r="J663" s="4" t="s">
        <v>18</v>
      </c>
      <c r="K663" s="32">
        <f t="shared" si="61"/>
        <v>-29.275000000000002</v>
      </c>
      <c r="L663" s="32">
        <v>0.35000000000000142</v>
      </c>
      <c r="M663" s="32">
        <v>-0.65000000000000213</v>
      </c>
      <c r="N663" s="32">
        <v>1.1999999999999993</v>
      </c>
      <c r="O663" s="32">
        <v>0.12499999999999645</v>
      </c>
      <c r="P663" s="128">
        <f t="shared" si="62"/>
        <v>0.54999999999999716</v>
      </c>
      <c r="Q663" s="128">
        <f t="shared" si="63"/>
        <v>-0.65000000000000213</v>
      </c>
      <c r="R663" s="128">
        <f t="shared" si="64"/>
        <v>-5.0000000000004263E-2</v>
      </c>
      <c r="S663" s="98">
        <v>1</v>
      </c>
      <c r="T663" s="99">
        <v>0</v>
      </c>
      <c r="U663" s="99">
        <v>0</v>
      </c>
      <c r="V663" s="99">
        <v>0</v>
      </c>
      <c r="W663" s="99">
        <v>0</v>
      </c>
      <c r="X663" s="73" t="s">
        <v>16</v>
      </c>
      <c r="AC663"/>
      <c r="AD663"/>
    </row>
    <row r="664" spans="1:30" x14ac:dyDescent="0.3">
      <c r="A664" s="4">
        <v>1921</v>
      </c>
      <c r="B664">
        <v>-29.4</v>
      </c>
      <c r="C664">
        <v>-28.3</v>
      </c>
      <c r="D664">
        <f t="shared" si="65"/>
        <v>-28.85</v>
      </c>
      <c r="E664">
        <v>-29.1</v>
      </c>
      <c r="F664">
        <v>-28.5</v>
      </c>
      <c r="G664">
        <v>-29.2</v>
      </c>
      <c r="J664" s="4" t="s">
        <v>18</v>
      </c>
      <c r="K664" s="32">
        <f t="shared" si="61"/>
        <v>-28.891666666666666</v>
      </c>
      <c r="L664" s="32">
        <v>-0.25</v>
      </c>
      <c r="M664" s="32">
        <v>-0.55000000000000071</v>
      </c>
      <c r="N664" s="32">
        <v>1.0999999999999979</v>
      </c>
      <c r="O664" s="32">
        <v>-0.125</v>
      </c>
      <c r="P664" s="128">
        <f t="shared" si="62"/>
        <v>0.29999999999999716</v>
      </c>
      <c r="Q664" s="128">
        <f t="shared" si="63"/>
        <v>-0.80000000000000071</v>
      </c>
      <c r="R664" s="128">
        <f t="shared" si="64"/>
        <v>-0.25</v>
      </c>
      <c r="S664" s="98">
        <v>0</v>
      </c>
      <c r="T664" s="99">
        <v>0</v>
      </c>
      <c r="U664" s="99">
        <v>0</v>
      </c>
      <c r="V664" s="99">
        <v>0</v>
      </c>
      <c r="W664" s="99">
        <v>0</v>
      </c>
      <c r="X664" s="73" t="s">
        <v>16</v>
      </c>
      <c r="AC664"/>
      <c r="AD664"/>
    </row>
    <row r="665" spans="1:30" x14ac:dyDescent="0.3">
      <c r="A665" s="4">
        <v>1922</v>
      </c>
      <c r="B665">
        <v>-28.4</v>
      </c>
      <c r="C665">
        <v>-29.9</v>
      </c>
      <c r="D665">
        <f t="shared" si="65"/>
        <v>-27.9</v>
      </c>
      <c r="E665">
        <v>-28.2</v>
      </c>
      <c r="F665">
        <v>-27.3</v>
      </c>
      <c r="G665">
        <v>-28.5</v>
      </c>
      <c r="J665" s="33" t="s">
        <v>11</v>
      </c>
      <c r="K665" s="32">
        <f t="shared" si="61"/>
        <v>-28.366666666666664</v>
      </c>
      <c r="L665" s="32">
        <v>-0.30000000000000071</v>
      </c>
      <c r="M665" s="32">
        <v>2</v>
      </c>
      <c r="N665" s="32">
        <v>-1.5</v>
      </c>
      <c r="O665" s="32">
        <v>1.1000000000000014</v>
      </c>
      <c r="P665" s="128">
        <f t="shared" si="62"/>
        <v>1.6999999999999993</v>
      </c>
      <c r="Q665" s="128">
        <f t="shared" si="63"/>
        <v>0.19999999999999929</v>
      </c>
      <c r="R665" s="128">
        <f t="shared" si="64"/>
        <v>0.94999999999999929</v>
      </c>
      <c r="S665" s="98">
        <v>0</v>
      </c>
      <c r="T665" s="99">
        <v>1</v>
      </c>
      <c r="U665" s="99">
        <v>1</v>
      </c>
      <c r="V665" s="99">
        <v>1</v>
      </c>
      <c r="W665" s="99">
        <v>0</v>
      </c>
      <c r="X665" s="73" t="s">
        <v>16</v>
      </c>
      <c r="AC665"/>
      <c r="AD665"/>
    </row>
    <row r="666" spans="1:30" x14ac:dyDescent="0.3">
      <c r="A666" s="4">
        <v>1923</v>
      </c>
      <c r="B666">
        <v>-28.4</v>
      </c>
      <c r="C666">
        <v>-26.3</v>
      </c>
      <c r="D666">
        <f t="shared" si="65"/>
        <v>-27.6</v>
      </c>
      <c r="E666">
        <v>-27.1</v>
      </c>
      <c r="F666">
        <v>-27.7</v>
      </c>
      <c r="G666">
        <v>-27.5</v>
      </c>
      <c r="J666" s="33" t="s">
        <v>11</v>
      </c>
      <c r="K666" s="32">
        <f t="shared" si="61"/>
        <v>-27.433333333333334</v>
      </c>
      <c r="L666" s="32">
        <v>0.5</v>
      </c>
      <c r="M666" s="32">
        <v>-1.3000000000000007</v>
      </c>
      <c r="N666" s="32">
        <v>2.0999999999999979</v>
      </c>
      <c r="O666" s="32">
        <v>0</v>
      </c>
      <c r="P666" s="128">
        <f t="shared" si="62"/>
        <v>0.79999999999999716</v>
      </c>
      <c r="Q666" s="128">
        <f t="shared" si="63"/>
        <v>-1.3000000000000007</v>
      </c>
      <c r="R666" s="128">
        <f t="shared" si="64"/>
        <v>-0.25</v>
      </c>
      <c r="S666" s="98">
        <v>1</v>
      </c>
      <c r="T666" s="99">
        <v>0</v>
      </c>
      <c r="U666" s="99">
        <v>0</v>
      </c>
      <c r="V666" s="99">
        <v>0</v>
      </c>
      <c r="W666" s="99">
        <v>0</v>
      </c>
      <c r="X666" s="73" t="s">
        <v>16</v>
      </c>
      <c r="AC666"/>
      <c r="AD666"/>
    </row>
    <row r="667" spans="1:30" x14ac:dyDescent="0.3">
      <c r="A667" s="4">
        <v>1924</v>
      </c>
      <c r="B667" s="37">
        <v>-32</v>
      </c>
      <c r="C667" s="37">
        <v>-30.5</v>
      </c>
      <c r="D667" s="37">
        <v>-30.6</v>
      </c>
      <c r="E667" s="37">
        <v>-30.1</v>
      </c>
      <c r="H667" s="37">
        <v>-31.6</v>
      </c>
      <c r="J667" s="4" t="s">
        <v>18</v>
      </c>
      <c r="K667" s="37">
        <v>-31.6</v>
      </c>
      <c r="L667" s="32">
        <v>0.5</v>
      </c>
      <c r="M667" s="32">
        <v>-0.10000000000000142</v>
      </c>
      <c r="N667" s="32">
        <v>1.5</v>
      </c>
      <c r="O667" s="32">
        <v>0.89999999999999858</v>
      </c>
      <c r="P667" s="128">
        <f t="shared" si="62"/>
        <v>1.3999999999999986</v>
      </c>
      <c r="Q667" s="128">
        <f t="shared" si="63"/>
        <v>-0.10000000000000142</v>
      </c>
      <c r="R667" s="128">
        <f t="shared" si="64"/>
        <v>0.64999999999999858</v>
      </c>
      <c r="S667" s="98">
        <v>0</v>
      </c>
      <c r="T667" s="99">
        <v>0</v>
      </c>
      <c r="U667" s="99">
        <v>0</v>
      </c>
      <c r="V667" s="99">
        <v>0</v>
      </c>
      <c r="W667" s="99">
        <v>1</v>
      </c>
      <c r="X667" s="73" t="s">
        <v>16</v>
      </c>
      <c r="AC667"/>
      <c r="AD667"/>
    </row>
    <row r="668" spans="1:30" x14ac:dyDescent="0.3">
      <c r="A668" s="4">
        <v>1925</v>
      </c>
      <c r="B668" s="37">
        <v>-32.299999999999997</v>
      </c>
      <c r="C668" s="37">
        <v>-31.1</v>
      </c>
      <c r="D668" s="37">
        <v>-30.8</v>
      </c>
      <c r="E668" s="37">
        <v>-31.1</v>
      </c>
      <c r="H668" s="37">
        <v>-31.3</v>
      </c>
      <c r="J668" s="4" t="s">
        <v>18</v>
      </c>
      <c r="K668" s="37">
        <v>-31.3</v>
      </c>
      <c r="L668" s="32">
        <v>-0.30000000000000071</v>
      </c>
      <c r="M668" s="32">
        <v>0.30000000000000071</v>
      </c>
      <c r="N668" s="32">
        <v>1.1999999999999957</v>
      </c>
      <c r="O668" s="32">
        <v>0.74999999999999645</v>
      </c>
      <c r="P668" s="128">
        <f t="shared" si="62"/>
        <v>1.1999999999999957</v>
      </c>
      <c r="Q668" s="128">
        <f t="shared" si="63"/>
        <v>0</v>
      </c>
      <c r="R668" s="128">
        <f t="shared" si="64"/>
        <v>0.59999999999999787</v>
      </c>
      <c r="S668" s="98">
        <v>0</v>
      </c>
      <c r="T668" s="99">
        <v>0</v>
      </c>
      <c r="U668" s="99">
        <v>0</v>
      </c>
      <c r="V668" s="99">
        <v>0</v>
      </c>
      <c r="W668" s="99">
        <v>0</v>
      </c>
      <c r="X668" s="73" t="s">
        <v>16</v>
      </c>
      <c r="AC668"/>
      <c r="AD668"/>
    </row>
    <row r="669" spans="1:30" x14ac:dyDescent="0.3">
      <c r="A669" s="4">
        <v>1926</v>
      </c>
      <c r="B669" s="37">
        <v>-32.299999999999997</v>
      </c>
      <c r="C669" s="37">
        <v>-31.2</v>
      </c>
      <c r="D669" s="37">
        <v>-31</v>
      </c>
      <c r="E669" s="37">
        <v>-31</v>
      </c>
      <c r="H669" s="37">
        <v>-32.299999999999997</v>
      </c>
      <c r="J669" s="4" t="s">
        <v>18</v>
      </c>
      <c r="K669" s="37">
        <v>-32.299999999999997</v>
      </c>
      <c r="L669" s="32">
        <v>0</v>
      </c>
      <c r="M669" s="32">
        <v>0.19999999999999929</v>
      </c>
      <c r="N669" s="32">
        <v>1.0999999999999979</v>
      </c>
      <c r="O669" s="32">
        <v>0.75</v>
      </c>
      <c r="P669" s="128">
        <f t="shared" si="62"/>
        <v>1.2999999999999972</v>
      </c>
      <c r="Q669" s="128">
        <f t="shared" si="63"/>
        <v>0.19999999999999929</v>
      </c>
      <c r="R669" s="128">
        <f t="shared" si="64"/>
        <v>0.75</v>
      </c>
      <c r="S669" s="98">
        <v>0</v>
      </c>
      <c r="T669" s="99">
        <v>0</v>
      </c>
      <c r="U669" s="99">
        <v>0</v>
      </c>
      <c r="V669" s="99">
        <v>0</v>
      </c>
      <c r="W669" s="99">
        <v>0</v>
      </c>
      <c r="X669" s="73" t="s">
        <v>16</v>
      </c>
      <c r="AC669"/>
      <c r="AD669"/>
    </row>
    <row r="670" spans="1:30" x14ac:dyDescent="0.3">
      <c r="A670" s="4">
        <v>1927</v>
      </c>
      <c r="B670" s="37">
        <v>-32.5</v>
      </c>
      <c r="C670" s="37">
        <v>-31.5</v>
      </c>
      <c r="D670" s="37">
        <v>-31.2</v>
      </c>
      <c r="E670" s="37">
        <v>-32.5</v>
      </c>
      <c r="H670" s="37">
        <v>-32.5</v>
      </c>
      <c r="J670" s="4" t="s">
        <v>18</v>
      </c>
      <c r="K670" s="37">
        <v>-32.5</v>
      </c>
      <c r="L670" s="32">
        <v>-1.3000000000000007</v>
      </c>
      <c r="M670" s="32">
        <v>0.30000000000000071</v>
      </c>
      <c r="N670" s="32">
        <v>1</v>
      </c>
      <c r="O670" s="32">
        <v>0.14999999999999858</v>
      </c>
      <c r="P670" s="128">
        <f t="shared" si="62"/>
        <v>0</v>
      </c>
      <c r="Q670" s="128">
        <f t="shared" si="63"/>
        <v>-1</v>
      </c>
      <c r="R670" s="128">
        <f t="shared" si="64"/>
        <v>-0.5</v>
      </c>
      <c r="S670" s="98">
        <v>0</v>
      </c>
      <c r="T670" s="99">
        <v>0</v>
      </c>
      <c r="U670" s="99">
        <v>0</v>
      </c>
      <c r="V670" s="99">
        <v>0</v>
      </c>
      <c r="W670" s="99">
        <v>0</v>
      </c>
      <c r="X670" s="73" t="s">
        <v>16</v>
      </c>
      <c r="AC670"/>
      <c r="AD670"/>
    </row>
    <row r="671" spans="1:30" x14ac:dyDescent="0.3">
      <c r="A671" s="4">
        <v>1928</v>
      </c>
      <c r="B671" s="37">
        <v>-33</v>
      </c>
      <c r="C671" s="37">
        <v>-32</v>
      </c>
      <c r="D671" s="37">
        <v>-31.3</v>
      </c>
      <c r="E671" s="37">
        <v>-30.6</v>
      </c>
      <c r="H671" s="37">
        <v>-32.299999999999997</v>
      </c>
      <c r="J671" s="4" t="s">
        <v>18</v>
      </c>
      <c r="K671" s="37">
        <v>-32.299999999999997</v>
      </c>
      <c r="L671" s="32">
        <v>0.69999999999999929</v>
      </c>
      <c r="M671" s="32">
        <v>0.69999999999999929</v>
      </c>
      <c r="N671" s="32">
        <v>1</v>
      </c>
      <c r="O671" s="32">
        <v>1.5499999999999972</v>
      </c>
      <c r="P671" s="128">
        <f t="shared" si="62"/>
        <v>1.6999999999999993</v>
      </c>
      <c r="Q671" s="128">
        <f t="shared" si="63"/>
        <v>0.69999999999999929</v>
      </c>
      <c r="R671" s="128">
        <f t="shared" si="64"/>
        <v>1.1999999999999993</v>
      </c>
      <c r="S671" s="98">
        <v>0</v>
      </c>
      <c r="T671" s="99">
        <v>0</v>
      </c>
      <c r="U671" s="99">
        <v>0</v>
      </c>
      <c r="V671" s="99">
        <v>0</v>
      </c>
      <c r="W671" s="99">
        <v>0</v>
      </c>
      <c r="X671" s="73" t="s">
        <v>16</v>
      </c>
      <c r="AC671"/>
      <c r="AD671"/>
    </row>
    <row r="672" spans="1:30" s="47" customFormat="1" x14ac:dyDescent="0.3">
      <c r="A672" s="40">
        <v>1929</v>
      </c>
      <c r="B672" s="86">
        <v>-27.7</v>
      </c>
      <c r="C672" s="86">
        <v>-25.1</v>
      </c>
      <c r="D672" s="86">
        <v>-25.9</v>
      </c>
      <c r="E672" s="86"/>
      <c r="H672" s="86">
        <v>-26.6</v>
      </c>
      <c r="J672" s="87" t="s">
        <v>11</v>
      </c>
      <c r="K672" s="86">
        <v>-26.6</v>
      </c>
      <c r="L672" s="32">
        <v>25.9</v>
      </c>
      <c r="M672" s="32">
        <v>-0.79999999999999716</v>
      </c>
      <c r="N672" s="32">
        <v>2.5999999999999979</v>
      </c>
      <c r="O672" s="32">
        <v>0.5</v>
      </c>
      <c r="P672" s="128" t="str">
        <f t="shared" si="62"/>
        <v/>
      </c>
      <c r="Q672" s="128" t="str">
        <f t="shared" si="63"/>
        <v/>
      </c>
      <c r="R672" s="128" t="str">
        <f t="shared" si="64"/>
        <v/>
      </c>
      <c r="S672" s="112"/>
      <c r="T672" s="104">
        <v>0</v>
      </c>
      <c r="U672" s="104">
        <v>0</v>
      </c>
      <c r="V672" s="104">
        <v>0</v>
      </c>
      <c r="W672" s="104"/>
      <c r="Y672"/>
    </row>
    <row r="673" spans="1:31" x14ac:dyDescent="0.3">
      <c r="A673" s="4">
        <v>1930</v>
      </c>
      <c r="B673" s="37">
        <v>-30.9</v>
      </c>
      <c r="C673" s="37">
        <v>-29.4</v>
      </c>
      <c r="D673" s="37">
        <v>-29.8</v>
      </c>
      <c r="E673" s="37">
        <v>-30.1</v>
      </c>
      <c r="H673" s="37">
        <v>-30.53</v>
      </c>
      <c r="J673" s="4" t="s">
        <v>18</v>
      </c>
      <c r="K673" s="37">
        <v>-30.53</v>
      </c>
      <c r="L673" s="32">
        <v>-0.30000000000000071</v>
      </c>
      <c r="M673" s="32">
        <v>-0.40000000000000213</v>
      </c>
      <c r="N673" s="32">
        <v>1.5</v>
      </c>
      <c r="O673" s="32">
        <v>0.19999999999999574</v>
      </c>
      <c r="P673" s="128">
        <f t="shared" si="62"/>
        <v>0.79999999999999716</v>
      </c>
      <c r="Q673" s="128">
        <f t="shared" si="63"/>
        <v>-0.70000000000000284</v>
      </c>
      <c r="R673" s="128">
        <f t="shared" si="64"/>
        <v>4.9999999999997158E-2</v>
      </c>
      <c r="S673" s="98">
        <v>0</v>
      </c>
      <c r="T673" s="99">
        <v>0</v>
      </c>
      <c r="U673" s="99">
        <v>0</v>
      </c>
      <c r="V673" s="99">
        <v>0</v>
      </c>
      <c r="W673" s="99">
        <v>0</v>
      </c>
      <c r="X673" s="73" t="s">
        <v>16</v>
      </c>
      <c r="AC673"/>
      <c r="AD673"/>
    </row>
    <row r="674" spans="1:31" x14ac:dyDescent="0.3">
      <c r="A674" s="4">
        <v>1931</v>
      </c>
      <c r="B674" s="37">
        <v>-32</v>
      </c>
      <c r="C674" s="37">
        <v>-30.8</v>
      </c>
      <c r="D674" s="37">
        <v>-30.9</v>
      </c>
      <c r="E674" s="37">
        <v>-30.7</v>
      </c>
      <c r="H674" s="37">
        <v>-31.7</v>
      </c>
      <c r="J674" s="4" t="s">
        <v>18</v>
      </c>
      <c r="K674" s="37">
        <v>-31.7</v>
      </c>
      <c r="L674" s="32">
        <v>0.19999999999999929</v>
      </c>
      <c r="M674" s="32">
        <v>-9.9999999999997868E-2</v>
      </c>
      <c r="N674" s="32">
        <v>1.1999999999999993</v>
      </c>
      <c r="O674" s="32">
        <v>0.60000000000000142</v>
      </c>
      <c r="P674" s="128">
        <f t="shared" si="62"/>
        <v>1.1000000000000014</v>
      </c>
      <c r="Q674" s="128">
        <f t="shared" si="63"/>
        <v>-9.9999999999997868E-2</v>
      </c>
      <c r="R674" s="128">
        <f t="shared" si="64"/>
        <v>0.5</v>
      </c>
      <c r="S674" s="98">
        <v>0</v>
      </c>
      <c r="T674" s="99">
        <v>0</v>
      </c>
      <c r="U674" s="99">
        <v>0</v>
      </c>
      <c r="V674" s="99">
        <v>0</v>
      </c>
      <c r="W674" s="99">
        <v>0</v>
      </c>
      <c r="X674" s="73" t="s">
        <v>16</v>
      </c>
      <c r="AC674"/>
      <c r="AD674"/>
    </row>
    <row r="675" spans="1:31" x14ac:dyDescent="0.3">
      <c r="A675" s="4">
        <v>1932</v>
      </c>
      <c r="B675" s="37">
        <v>-31.8</v>
      </c>
      <c r="C675" s="37">
        <v>-30.9</v>
      </c>
      <c r="D675" s="37">
        <v>-30.9</v>
      </c>
      <c r="E675" s="37">
        <v>-30.7</v>
      </c>
      <c r="H675" s="37">
        <v>-31.6</v>
      </c>
      <c r="J675" s="4" t="s">
        <v>18</v>
      </c>
      <c r="K675" s="37">
        <v>-31.6</v>
      </c>
      <c r="L675" s="32">
        <v>0.19999999999999929</v>
      </c>
      <c r="M675" s="32">
        <v>0</v>
      </c>
      <c r="N675" s="32">
        <v>0.90000000000000213</v>
      </c>
      <c r="O675" s="32">
        <v>0.55000000000000426</v>
      </c>
      <c r="P675" s="128">
        <f t="shared" si="62"/>
        <v>0.90000000000000213</v>
      </c>
      <c r="Q675" s="128">
        <f t="shared" si="63"/>
        <v>0</v>
      </c>
      <c r="R675" s="128">
        <f t="shared" si="64"/>
        <v>0.45000000000000284</v>
      </c>
      <c r="S675" s="98">
        <v>0</v>
      </c>
      <c r="T675" s="99">
        <v>0</v>
      </c>
      <c r="U675" s="99">
        <v>0</v>
      </c>
      <c r="V675" s="99">
        <v>0</v>
      </c>
      <c r="W675" s="99">
        <v>0</v>
      </c>
      <c r="X675" s="73" t="s">
        <v>16</v>
      </c>
      <c r="AC675"/>
      <c r="AD675"/>
    </row>
    <row r="676" spans="1:31" x14ac:dyDescent="0.3">
      <c r="A676" s="4">
        <v>1933</v>
      </c>
      <c r="B676" s="37">
        <v>-29.7</v>
      </c>
      <c r="C676" s="37">
        <v>-28.7</v>
      </c>
      <c r="D676" s="37">
        <v>-30.2</v>
      </c>
      <c r="E676" s="37">
        <v>-29.7</v>
      </c>
      <c r="H676" s="37">
        <v>-29.2</v>
      </c>
      <c r="J676" s="4" t="s">
        <v>18</v>
      </c>
      <c r="K676" s="37">
        <v>-29.2</v>
      </c>
      <c r="L676" s="32">
        <v>0.5</v>
      </c>
      <c r="M676" s="32">
        <v>-1.5</v>
      </c>
      <c r="N676" s="32">
        <v>1</v>
      </c>
      <c r="O676" s="32">
        <v>-0.75</v>
      </c>
      <c r="P676" s="128">
        <f t="shared" si="62"/>
        <v>-0.5</v>
      </c>
      <c r="Q676" s="128">
        <f t="shared" si="63"/>
        <v>-1.5</v>
      </c>
      <c r="R676" s="128">
        <f t="shared" si="64"/>
        <v>-1</v>
      </c>
      <c r="S676" s="98">
        <v>1</v>
      </c>
      <c r="T676" s="99">
        <v>0</v>
      </c>
      <c r="U676" s="99">
        <v>0</v>
      </c>
      <c r="V676" s="99">
        <v>0</v>
      </c>
      <c r="W676" s="99">
        <v>0</v>
      </c>
      <c r="X676" s="73" t="s">
        <v>16</v>
      </c>
      <c r="AC676"/>
      <c r="AD676"/>
    </row>
    <row r="677" spans="1:31" x14ac:dyDescent="0.3">
      <c r="A677" s="4">
        <v>1934</v>
      </c>
      <c r="B677" s="37">
        <v>-31.2</v>
      </c>
      <c r="C677" s="37">
        <v>-30.1</v>
      </c>
      <c r="D677" s="37">
        <v>-30.2</v>
      </c>
      <c r="E677" s="37">
        <v>-29.9</v>
      </c>
      <c r="H677" s="37">
        <v>-30.9</v>
      </c>
      <c r="J677" s="4" t="s">
        <v>18</v>
      </c>
      <c r="K677" s="37">
        <v>-30.9</v>
      </c>
      <c r="L677" s="32">
        <v>0.30000000000000071</v>
      </c>
      <c r="M677" s="32">
        <v>-9.9999999999997868E-2</v>
      </c>
      <c r="N677" s="32">
        <v>1.0999999999999979</v>
      </c>
      <c r="O677" s="32">
        <v>0.60000000000000142</v>
      </c>
      <c r="P677" s="128">
        <f t="shared" si="62"/>
        <v>1</v>
      </c>
      <c r="Q677" s="128">
        <f t="shared" si="63"/>
        <v>-9.9999999999997868E-2</v>
      </c>
      <c r="R677" s="128">
        <f t="shared" si="64"/>
        <v>0.44999999999999929</v>
      </c>
      <c r="S677" s="98">
        <v>0</v>
      </c>
      <c r="T677" s="99">
        <v>0</v>
      </c>
      <c r="U677" s="99">
        <v>0</v>
      </c>
      <c r="V677" s="99">
        <v>0</v>
      </c>
      <c r="W677" s="99">
        <v>0</v>
      </c>
      <c r="X677" s="73" t="s">
        <v>16</v>
      </c>
      <c r="AC677"/>
      <c r="AD677"/>
    </row>
    <row r="678" spans="1:31" x14ac:dyDescent="0.3">
      <c r="A678" s="4">
        <v>1935</v>
      </c>
      <c r="B678" s="37">
        <v>-31.4</v>
      </c>
      <c r="C678" s="37">
        <v>-30.4</v>
      </c>
      <c r="D678" s="37">
        <v>-30.6</v>
      </c>
      <c r="E678" s="37">
        <v>-29.9</v>
      </c>
      <c r="H678" s="37">
        <v>-31</v>
      </c>
      <c r="J678" s="4" t="s">
        <v>18</v>
      </c>
      <c r="K678" s="37">
        <v>-31</v>
      </c>
      <c r="L678" s="32">
        <v>0.70000000000000284</v>
      </c>
      <c r="M678" s="32">
        <v>-0.20000000000000284</v>
      </c>
      <c r="N678" s="32">
        <v>1</v>
      </c>
      <c r="O678" s="32">
        <v>0.64999999999999858</v>
      </c>
      <c r="P678" s="128">
        <f t="shared" si="62"/>
        <v>0.79999999999999716</v>
      </c>
      <c r="Q678" s="128">
        <f t="shared" si="63"/>
        <v>-0.20000000000000284</v>
      </c>
      <c r="R678" s="128">
        <f t="shared" si="64"/>
        <v>0.29999999999999716</v>
      </c>
      <c r="S678" s="98">
        <v>0</v>
      </c>
      <c r="T678" s="99">
        <v>0</v>
      </c>
      <c r="U678" s="99">
        <v>0</v>
      </c>
      <c r="V678" s="99">
        <v>0</v>
      </c>
      <c r="W678" s="99">
        <v>0</v>
      </c>
      <c r="X678" s="73" t="s">
        <v>16</v>
      </c>
      <c r="AC678"/>
      <c r="AD678"/>
    </row>
    <row r="679" spans="1:31" x14ac:dyDescent="0.3">
      <c r="A679" s="4">
        <v>1936</v>
      </c>
      <c r="B679" s="37">
        <v>-31.4</v>
      </c>
      <c r="C679" s="37">
        <v>-30.4</v>
      </c>
      <c r="D679" s="37">
        <v>-30.7</v>
      </c>
      <c r="E679" s="37">
        <v>-30.1</v>
      </c>
      <c r="H679" s="37">
        <v>-31.2</v>
      </c>
      <c r="J679" s="4" t="s">
        <v>18</v>
      </c>
      <c r="K679" s="37">
        <v>-31.2</v>
      </c>
      <c r="L679" s="32">
        <v>0.59999999999999787</v>
      </c>
      <c r="M679" s="32">
        <v>-0.30000000000000071</v>
      </c>
      <c r="N679" s="32">
        <v>1</v>
      </c>
      <c r="O679" s="32">
        <v>0.5</v>
      </c>
      <c r="P679" s="128">
        <f t="shared" si="62"/>
        <v>0.69999999999999929</v>
      </c>
      <c r="Q679" s="128">
        <f t="shared" si="63"/>
        <v>-0.30000000000000071</v>
      </c>
      <c r="R679" s="128">
        <f t="shared" si="64"/>
        <v>0.19999999999999929</v>
      </c>
      <c r="S679" s="98">
        <v>1</v>
      </c>
      <c r="T679" s="99">
        <v>0</v>
      </c>
      <c r="U679" s="99">
        <v>0</v>
      </c>
      <c r="V679" s="99">
        <v>0</v>
      </c>
      <c r="W679" s="99">
        <v>0</v>
      </c>
      <c r="X679" s="73" t="s">
        <v>16</v>
      </c>
      <c r="AC679"/>
      <c r="AD679"/>
    </row>
    <row r="680" spans="1:31" s="47" customFormat="1" x14ac:dyDescent="0.3">
      <c r="A680" s="40">
        <v>1937</v>
      </c>
      <c r="B680" s="88">
        <v>-28.2</v>
      </c>
      <c r="C680" s="88">
        <v>-26.2</v>
      </c>
      <c r="D680" s="88">
        <v>-28.2</v>
      </c>
      <c r="E680" s="88"/>
      <c r="H680" s="88">
        <v>-25.8</v>
      </c>
      <c r="J680" s="40" t="s">
        <v>19</v>
      </c>
      <c r="K680" s="88">
        <v>-25.8</v>
      </c>
      <c r="L680" s="32">
        <v>28.2</v>
      </c>
      <c r="M680" s="32">
        <v>-2</v>
      </c>
      <c r="N680" s="32">
        <v>2</v>
      </c>
      <c r="O680" s="32">
        <v>-1</v>
      </c>
      <c r="P680" s="128" t="str">
        <f t="shared" si="62"/>
        <v/>
      </c>
      <c r="Q680" s="128" t="str">
        <f t="shared" si="63"/>
        <v/>
      </c>
      <c r="R680" s="128" t="str">
        <f t="shared" si="64"/>
        <v/>
      </c>
      <c r="S680" s="112"/>
      <c r="T680" s="104">
        <v>0</v>
      </c>
      <c r="U680" s="104">
        <v>0</v>
      </c>
      <c r="V680" s="104">
        <v>0</v>
      </c>
      <c r="W680" s="104"/>
      <c r="Y680"/>
      <c r="AC680"/>
      <c r="AD680"/>
      <c r="AE680"/>
    </row>
    <row r="681" spans="1:31" s="47" customFormat="1" x14ac:dyDescent="0.3">
      <c r="A681" s="40">
        <v>1938</v>
      </c>
      <c r="B681" s="88">
        <v>-26.7</v>
      </c>
      <c r="C681" s="88">
        <v>-24.8</v>
      </c>
      <c r="D681" s="88">
        <v>-27</v>
      </c>
      <c r="E681" s="88"/>
      <c r="H681" s="88">
        <v>-26.3</v>
      </c>
      <c r="J681" s="40" t="s">
        <v>11</v>
      </c>
      <c r="K681" s="88">
        <v>-26.3</v>
      </c>
      <c r="L681" s="32">
        <v>27</v>
      </c>
      <c r="M681" s="32">
        <v>-2.1999999999999993</v>
      </c>
      <c r="N681" s="32">
        <v>1.8999999999999986</v>
      </c>
      <c r="O681" s="32">
        <v>-1.25</v>
      </c>
      <c r="P681" s="128" t="str">
        <f t="shared" si="62"/>
        <v/>
      </c>
      <c r="Q681" s="128" t="str">
        <f t="shared" si="63"/>
        <v/>
      </c>
      <c r="R681" s="128" t="str">
        <f t="shared" si="64"/>
        <v/>
      </c>
      <c r="S681" s="112"/>
      <c r="T681" s="104">
        <v>0</v>
      </c>
      <c r="U681" s="104">
        <v>0</v>
      </c>
      <c r="V681" s="104">
        <v>0</v>
      </c>
      <c r="W681" s="104"/>
      <c r="Y681"/>
      <c r="AC681"/>
      <c r="AD681"/>
      <c r="AE681"/>
    </row>
    <row r="682" spans="1:31" s="47" customFormat="1" x14ac:dyDescent="0.3">
      <c r="A682" s="40">
        <v>1939</v>
      </c>
      <c r="B682" s="88">
        <v>-26.7</v>
      </c>
      <c r="C682" s="88">
        <v>-24.8</v>
      </c>
      <c r="D682" s="88">
        <v>-27</v>
      </c>
      <c r="E682" s="88"/>
      <c r="H682" s="88">
        <v>-26.3</v>
      </c>
      <c r="J682" s="40" t="s">
        <v>11</v>
      </c>
      <c r="K682" s="88">
        <v>-26.3</v>
      </c>
      <c r="L682" s="32">
        <v>27</v>
      </c>
      <c r="M682" s="32">
        <v>-2.1999999999999993</v>
      </c>
      <c r="N682" s="32">
        <v>1.8999999999999986</v>
      </c>
      <c r="O682" s="32">
        <v>-1.25</v>
      </c>
      <c r="P682" s="128" t="str">
        <f t="shared" si="62"/>
        <v/>
      </c>
      <c r="Q682" s="128" t="str">
        <f t="shared" si="63"/>
        <v/>
      </c>
      <c r="R682" s="128" t="str">
        <f t="shared" si="64"/>
        <v/>
      </c>
      <c r="S682" s="112"/>
      <c r="T682" s="104">
        <v>0</v>
      </c>
      <c r="U682" s="104">
        <v>0</v>
      </c>
      <c r="V682" s="104">
        <v>0</v>
      </c>
      <c r="W682" s="104"/>
      <c r="Y682"/>
      <c r="AC682"/>
      <c r="AD682"/>
      <c r="AE682"/>
    </row>
    <row r="683" spans="1:31" x14ac:dyDescent="0.3">
      <c r="A683" s="4">
        <v>1940</v>
      </c>
      <c r="B683" s="80">
        <v>-30.4</v>
      </c>
      <c r="C683" s="80">
        <v>-29.2</v>
      </c>
      <c r="D683" s="80">
        <v>-29.7</v>
      </c>
      <c r="E683" s="80">
        <v>-30.9</v>
      </c>
      <c r="H683" s="80">
        <v>-26</v>
      </c>
      <c r="J683" s="4" t="s">
        <v>11</v>
      </c>
      <c r="K683" s="80">
        <v>-26</v>
      </c>
      <c r="L683" s="32">
        <v>-1.1999999999999993</v>
      </c>
      <c r="M683" s="32">
        <v>-0.5</v>
      </c>
      <c r="N683" s="32">
        <v>1.1999999999999993</v>
      </c>
      <c r="O683" s="32">
        <v>-0.5</v>
      </c>
      <c r="P683" s="128">
        <f t="shared" si="62"/>
        <v>-0.5</v>
      </c>
      <c r="Q683" s="128">
        <f t="shared" si="63"/>
        <v>-1.6999999999999993</v>
      </c>
      <c r="R683" s="128">
        <f t="shared" si="64"/>
        <v>-1.1000000000000014</v>
      </c>
      <c r="S683" s="98">
        <v>0</v>
      </c>
      <c r="T683" s="99">
        <v>0</v>
      </c>
      <c r="U683" s="99">
        <v>0</v>
      </c>
      <c r="V683" s="99">
        <v>0</v>
      </c>
      <c r="W683" s="99">
        <v>0</v>
      </c>
      <c r="X683" s="73" t="s">
        <v>16</v>
      </c>
      <c r="AC683"/>
      <c r="AD683"/>
    </row>
    <row r="684" spans="1:31" x14ac:dyDescent="0.3">
      <c r="A684" s="4">
        <v>1941</v>
      </c>
      <c r="B684" s="80">
        <v>-28.3</v>
      </c>
      <c r="C684" s="80">
        <v>-25.9</v>
      </c>
      <c r="D684" s="80">
        <v>-28.3</v>
      </c>
      <c r="E684" s="80">
        <v>-28.3</v>
      </c>
      <c r="H684" s="80">
        <v>-27.9</v>
      </c>
      <c r="J684" s="4" t="s">
        <v>11</v>
      </c>
      <c r="K684" s="80">
        <v>-27.9</v>
      </c>
      <c r="L684" s="32">
        <v>0</v>
      </c>
      <c r="M684" s="32">
        <v>-2.4000000000000021</v>
      </c>
      <c r="N684" s="32">
        <v>2.4000000000000021</v>
      </c>
      <c r="O684" s="32">
        <v>-1.1999999999999993</v>
      </c>
      <c r="P684" s="128">
        <f t="shared" si="62"/>
        <v>0</v>
      </c>
      <c r="Q684" s="128">
        <f t="shared" si="63"/>
        <v>-2.4000000000000021</v>
      </c>
      <c r="R684" s="128">
        <f t="shared" si="64"/>
        <v>-1.1999999999999993</v>
      </c>
      <c r="S684" s="98">
        <v>0</v>
      </c>
      <c r="T684" s="99">
        <v>0</v>
      </c>
      <c r="U684" s="99">
        <v>0</v>
      </c>
      <c r="V684" s="99">
        <v>0</v>
      </c>
      <c r="W684" s="99">
        <v>0</v>
      </c>
      <c r="X684" s="73" t="s">
        <v>16</v>
      </c>
      <c r="AC684"/>
      <c r="AD684"/>
    </row>
    <row r="685" spans="1:31" x14ac:dyDescent="0.3">
      <c r="A685" s="4">
        <v>1942</v>
      </c>
      <c r="B685" s="80">
        <v>-32.5</v>
      </c>
      <c r="C685" s="80">
        <v>-31.3</v>
      </c>
      <c r="D685" s="80">
        <v>-31.1</v>
      </c>
      <c r="E685" s="80">
        <v>-31.6</v>
      </c>
      <c r="H685" s="80">
        <v>-32.4</v>
      </c>
      <c r="J685" s="4" t="s">
        <v>18</v>
      </c>
      <c r="K685" s="80">
        <v>-32.4</v>
      </c>
      <c r="L685" s="32">
        <v>-0.5</v>
      </c>
      <c r="M685" s="32">
        <v>0.19999999999999929</v>
      </c>
      <c r="N685" s="32">
        <v>1.1999999999999993</v>
      </c>
      <c r="O685" s="32">
        <v>0.54999999999999716</v>
      </c>
      <c r="P685" s="128">
        <f t="shared" si="62"/>
        <v>0.89999999999999858</v>
      </c>
      <c r="Q685" s="128">
        <f t="shared" si="63"/>
        <v>-0.30000000000000071</v>
      </c>
      <c r="R685" s="128">
        <f t="shared" si="64"/>
        <v>0.29999999999999716</v>
      </c>
      <c r="S685" s="98">
        <v>0</v>
      </c>
      <c r="T685" s="99">
        <v>0</v>
      </c>
      <c r="U685" s="99">
        <v>0</v>
      </c>
      <c r="V685" s="99">
        <v>0</v>
      </c>
      <c r="W685" s="99">
        <v>0</v>
      </c>
      <c r="X685" s="73" t="s">
        <v>16</v>
      </c>
      <c r="AC685"/>
      <c r="AD685"/>
    </row>
    <row r="686" spans="1:31" s="47" customFormat="1" x14ac:dyDescent="0.3">
      <c r="A686" s="40">
        <v>1943</v>
      </c>
      <c r="B686" s="88">
        <v>-28.8</v>
      </c>
      <c r="C686" s="88">
        <v>-27.6</v>
      </c>
      <c r="D686" s="88">
        <v>-28.7</v>
      </c>
      <c r="E686" s="88"/>
      <c r="H686" s="88">
        <v>-29.7</v>
      </c>
      <c r="J686" s="40" t="s">
        <v>18</v>
      </c>
      <c r="K686" s="88">
        <v>-29.7</v>
      </c>
      <c r="L686" s="32">
        <v>28.7</v>
      </c>
      <c r="M686" s="32">
        <v>-1.0999999999999979</v>
      </c>
      <c r="N686" s="32">
        <v>1.1999999999999993</v>
      </c>
      <c r="O686" s="32">
        <v>-0.49999999999999645</v>
      </c>
      <c r="P686" s="128" t="str">
        <f t="shared" si="62"/>
        <v/>
      </c>
      <c r="Q686" s="128" t="str">
        <f t="shared" si="63"/>
        <v/>
      </c>
      <c r="R686" s="128" t="str">
        <f t="shared" si="64"/>
        <v/>
      </c>
      <c r="S686" s="112"/>
      <c r="T686" s="104">
        <v>0</v>
      </c>
      <c r="U686" s="104">
        <v>0</v>
      </c>
      <c r="V686" s="104">
        <v>0</v>
      </c>
      <c r="W686" s="104"/>
      <c r="Y686"/>
      <c r="AC686"/>
      <c r="AD686"/>
      <c r="AE686"/>
    </row>
    <row r="687" spans="1:31" x14ac:dyDescent="0.3">
      <c r="A687" s="4">
        <v>1944</v>
      </c>
      <c r="B687" s="80">
        <v>-30.2</v>
      </c>
      <c r="C687" s="80">
        <v>-29.4</v>
      </c>
      <c r="D687" s="80">
        <v>-29.7</v>
      </c>
      <c r="E687" s="80">
        <v>-29.4</v>
      </c>
      <c r="H687" s="80">
        <v>-30.1</v>
      </c>
      <c r="J687" s="4" t="s">
        <v>18</v>
      </c>
      <c r="K687" s="80">
        <v>-30.1</v>
      </c>
      <c r="L687" s="32">
        <v>0.30000000000000071</v>
      </c>
      <c r="M687" s="32">
        <v>-0.30000000000000071</v>
      </c>
      <c r="N687" s="32">
        <v>0.80000000000000071</v>
      </c>
      <c r="O687" s="32">
        <v>0.25</v>
      </c>
      <c r="P687" s="128">
        <f t="shared" si="62"/>
        <v>0.5</v>
      </c>
      <c r="Q687" s="128">
        <f t="shared" si="63"/>
        <v>-0.30000000000000071</v>
      </c>
      <c r="R687" s="128">
        <f t="shared" si="64"/>
        <v>9.9999999999997868E-2</v>
      </c>
      <c r="S687" s="98">
        <v>0</v>
      </c>
      <c r="T687" s="99">
        <v>0</v>
      </c>
      <c r="U687" s="99">
        <v>0</v>
      </c>
      <c r="V687" s="99">
        <v>0</v>
      </c>
      <c r="W687" s="99">
        <v>0</v>
      </c>
      <c r="X687" s="73" t="s">
        <v>16</v>
      </c>
      <c r="AC687"/>
      <c r="AD687"/>
    </row>
    <row r="688" spans="1:31" x14ac:dyDescent="0.3">
      <c r="A688" s="4">
        <v>1945</v>
      </c>
      <c r="B688" s="80">
        <v>-30.5</v>
      </c>
      <c r="C688" s="80">
        <v>-29.5</v>
      </c>
      <c r="D688" s="80">
        <v>-30.2</v>
      </c>
      <c r="E688" s="80">
        <v>-29.4</v>
      </c>
      <c r="H688" s="80">
        <v>-30</v>
      </c>
      <c r="J688" s="4" t="s">
        <v>18</v>
      </c>
      <c r="K688" s="80">
        <v>-30</v>
      </c>
      <c r="L688" s="32">
        <v>0.80000000000000071</v>
      </c>
      <c r="M688" s="32">
        <v>-0.69999999999999929</v>
      </c>
      <c r="N688" s="32">
        <v>1</v>
      </c>
      <c r="O688" s="32">
        <v>0.20000000000000284</v>
      </c>
      <c r="P688" s="128">
        <f t="shared" si="62"/>
        <v>0.30000000000000071</v>
      </c>
      <c r="Q688" s="128">
        <f t="shared" si="63"/>
        <v>-0.69999999999999929</v>
      </c>
      <c r="R688" s="128">
        <f t="shared" si="64"/>
        <v>-0.19999999999999929</v>
      </c>
      <c r="S688" s="98">
        <v>1</v>
      </c>
      <c r="T688" s="99">
        <v>0</v>
      </c>
      <c r="U688" s="99">
        <v>0</v>
      </c>
      <c r="V688" s="99">
        <v>0</v>
      </c>
      <c r="W688" s="99">
        <v>0</v>
      </c>
      <c r="X688" s="73" t="s">
        <v>16</v>
      </c>
      <c r="AC688"/>
      <c r="AD688"/>
    </row>
    <row r="689" spans="1:30" s="47" customFormat="1" x14ac:dyDescent="0.3">
      <c r="A689" s="40">
        <v>1946</v>
      </c>
      <c r="B689" s="88">
        <v>-30.4</v>
      </c>
      <c r="C689" s="88">
        <v>-29.3</v>
      </c>
      <c r="D689" s="88">
        <v>-29.9</v>
      </c>
      <c r="E689" s="88"/>
      <c r="H689" s="88">
        <v>-30</v>
      </c>
      <c r="J689" s="40" t="s">
        <v>18</v>
      </c>
      <c r="K689" s="88">
        <v>-30</v>
      </c>
      <c r="L689" s="32">
        <v>29.9</v>
      </c>
      <c r="M689" s="32">
        <v>-0.59999999999999787</v>
      </c>
      <c r="N689" s="32">
        <v>1.0999999999999979</v>
      </c>
      <c r="O689" s="32">
        <v>-4.9999999999997158E-2</v>
      </c>
      <c r="P689" s="128" t="str">
        <f t="shared" si="62"/>
        <v/>
      </c>
      <c r="Q689" s="128" t="str">
        <f t="shared" si="63"/>
        <v/>
      </c>
      <c r="R689" s="128" t="str">
        <f t="shared" si="64"/>
        <v/>
      </c>
      <c r="S689" s="112"/>
      <c r="T689" s="104">
        <v>0</v>
      </c>
      <c r="U689" s="104">
        <v>0</v>
      </c>
      <c r="V689" s="104">
        <v>0</v>
      </c>
      <c r="W689" s="104"/>
      <c r="X689" s="89"/>
      <c r="Y689"/>
      <c r="AC689"/>
    </row>
    <row r="690" spans="1:30" x14ac:dyDescent="0.3">
      <c r="A690" s="4">
        <v>1947</v>
      </c>
      <c r="B690" s="80">
        <v>-31.3</v>
      </c>
      <c r="C690" s="80">
        <v>-30.5</v>
      </c>
      <c r="D690" s="80">
        <v>-30.3</v>
      </c>
      <c r="E690" s="80">
        <v>-29.9</v>
      </c>
      <c r="H690" s="80">
        <v>-30.5</v>
      </c>
      <c r="J690" s="4" t="s">
        <v>18</v>
      </c>
      <c r="K690" s="80">
        <v>-30.5</v>
      </c>
      <c r="L690" s="32">
        <v>0.40000000000000213</v>
      </c>
      <c r="M690" s="32">
        <v>0.19999999999999929</v>
      </c>
      <c r="N690" s="32">
        <v>0.80000000000000071</v>
      </c>
      <c r="O690" s="32">
        <v>0.79999999999999716</v>
      </c>
      <c r="P690" s="128">
        <f t="shared" si="62"/>
        <v>1</v>
      </c>
      <c r="Q690" s="128">
        <f t="shared" si="63"/>
        <v>0.19999999999999929</v>
      </c>
      <c r="R690" s="128">
        <f t="shared" si="64"/>
        <v>0.59999999999999787</v>
      </c>
      <c r="S690" s="98">
        <v>0</v>
      </c>
      <c r="T690" s="99">
        <v>0</v>
      </c>
      <c r="U690" s="99">
        <v>0</v>
      </c>
      <c r="V690" s="99">
        <v>0</v>
      </c>
      <c r="W690" s="99">
        <v>0</v>
      </c>
      <c r="X690" s="73" t="s">
        <v>16</v>
      </c>
      <c r="AC690"/>
      <c r="AD690"/>
    </row>
    <row r="691" spans="1:30" x14ac:dyDescent="0.3">
      <c r="A691" s="4">
        <v>1948</v>
      </c>
      <c r="B691" s="80">
        <v>-31.1</v>
      </c>
      <c r="C691" s="80">
        <v>-30.1</v>
      </c>
      <c r="D691" s="80">
        <v>-30.1</v>
      </c>
      <c r="E691" s="80">
        <v>-29.5</v>
      </c>
      <c r="H691" s="80">
        <v>-30.8</v>
      </c>
      <c r="J691" s="4" t="s">
        <v>18</v>
      </c>
      <c r="K691" s="80">
        <v>-30.8</v>
      </c>
      <c r="L691" s="32">
        <v>0.60000000000000142</v>
      </c>
      <c r="M691" s="32">
        <v>0</v>
      </c>
      <c r="N691" s="32">
        <v>1</v>
      </c>
      <c r="O691" s="32">
        <v>0.80000000000000071</v>
      </c>
      <c r="P691" s="128">
        <f t="shared" si="62"/>
        <v>1</v>
      </c>
      <c r="Q691" s="128">
        <f t="shared" si="63"/>
        <v>0</v>
      </c>
      <c r="R691" s="128">
        <f t="shared" si="64"/>
        <v>0.5</v>
      </c>
      <c r="S691" s="98">
        <v>0</v>
      </c>
      <c r="T691" s="99">
        <v>0</v>
      </c>
      <c r="U691" s="99">
        <v>0</v>
      </c>
      <c r="V691" s="99">
        <v>0</v>
      </c>
      <c r="W691" s="99">
        <v>0</v>
      </c>
      <c r="X691" s="73" t="s">
        <v>16</v>
      </c>
      <c r="AC691"/>
      <c r="AD691"/>
    </row>
    <row r="692" spans="1:30" x14ac:dyDescent="0.3">
      <c r="A692" s="4">
        <v>1949</v>
      </c>
      <c r="B692" s="80">
        <v>-31.4</v>
      </c>
      <c r="C692" s="80">
        <v>-30.7</v>
      </c>
      <c r="D692" s="80">
        <v>-30.3</v>
      </c>
      <c r="E692" s="80">
        <v>-30.1</v>
      </c>
      <c r="H692" s="80">
        <v>-30.9</v>
      </c>
      <c r="J692" s="4" t="s">
        <v>18</v>
      </c>
      <c r="K692" s="80">
        <v>-30.9</v>
      </c>
      <c r="L692" s="32">
        <v>0.19999999999999929</v>
      </c>
      <c r="M692" s="32">
        <v>0.39999999999999858</v>
      </c>
      <c r="N692" s="32">
        <v>0.69999999999999929</v>
      </c>
      <c r="O692" s="32">
        <v>0.84999999999999432</v>
      </c>
      <c r="P692" s="128">
        <f t="shared" si="62"/>
        <v>1.0999999999999979</v>
      </c>
      <c r="Q692" s="128">
        <f t="shared" si="63"/>
        <v>0.39999999999999858</v>
      </c>
      <c r="R692" s="128">
        <f t="shared" si="64"/>
        <v>0.74999999999999645</v>
      </c>
      <c r="S692" s="98">
        <v>0</v>
      </c>
      <c r="T692" s="99">
        <v>0</v>
      </c>
      <c r="U692" s="99">
        <v>0</v>
      </c>
      <c r="V692" s="99">
        <v>0</v>
      </c>
      <c r="W692" s="99">
        <v>0</v>
      </c>
      <c r="X692" s="73" t="s">
        <v>16</v>
      </c>
      <c r="AC692"/>
      <c r="AD692"/>
    </row>
    <row r="693" spans="1:30" s="47" customFormat="1" x14ac:dyDescent="0.3">
      <c r="A693" s="40">
        <v>1950</v>
      </c>
      <c r="B693" s="88">
        <v>-28</v>
      </c>
      <c r="C693" s="88">
        <v>-25.2</v>
      </c>
      <c r="D693" s="88">
        <v>-27.3</v>
      </c>
      <c r="E693" s="88"/>
      <c r="H693" s="88">
        <v>-26.5</v>
      </c>
      <c r="J693" s="40" t="s">
        <v>11</v>
      </c>
      <c r="K693" s="88">
        <v>-26.5</v>
      </c>
      <c r="L693" s="32">
        <v>27.3</v>
      </c>
      <c r="M693" s="32">
        <v>-2.1000000000000014</v>
      </c>
      <c r="N693" s="32">
        <v>2.8000000000000007</v>
      </c>
      <c r="O693" s="32">
        <v>-0.69999999999999929</v>
      </c>
      <c r="P693" s="128" t="str">
        <f t="shared" si="62"/>
        <v/>
      </c>
      <c r="Q693" s="128" t="str">
        <f t="shared" si="63"/>
        <v/>
      </c>
      <c r="R693" s="128" t="str">
        <f t="shared" si="64"/>
        <v/>
      </c>
      <c r="S693" s="112"/>
      <c r="T693" s="104">
        <v>0</v>
      </c>
      <c r="U693" s="104">
        <v>0</v>
      </c>
      <c r="V693" s="104">
        <v>0</v>
      </c>
      <c r="W693" s="104"/>
      <c r="Y693"/>
      <c r="AC693"/>
    </row>
    <row r="694" spans="1:30" s="47" customFormat="1" x14ac:dyDescent="0.3">
      <c r="A694" s="40">
        <v>1951</v>
      </c>
      <c r="B694" s="88">
        <v>-31.7</v>
      </c>
      <c r="C694" s="88">
        <v>-30.9</v>
      </c>
      <c r="D694" s="88">
        <v>-30.3</v>
      </c>
      <c r="E694" s="88"/>
      <c r="H694" s="88">
        <v>-31.4</v>
      </c>
      <c r="J694" s="40" t="s">
        <v>18</v>
      </c>
      <c r="K694" s="88">
        <v>-31.4</v>
      </c>
      <c r="L694" s="32">
        <v>30.3</v>
      </c>
      <c r="M694" s="32">
        <v>0.59999999999999787</v>
      </c>
      <c r="N694" s="32">
        <v>0.80000000000000071</v>
      </c>
      <c r="O694" s="32">
        <v>0.99999999999999645</v>
      </c>
      <c r="P694" s="128" t="str">
        <f t="shared" si="62"/>
        <v/>
      </c>
      <c r="Q694" s="128" t="str">
        <f t="shared" si="63"/>
        <v/>
      </c>
      <c r="R694" s="128" t="str">
        <f t="shared" si="64"/>
        <v/>
      </c>
      <c r="S694" s="112"/>
      <c r="T694" s="104">
        <v>0</v>
      </c>
      <c r="U694" s="104">
        <v>0</v>
      </c>
      <c r="V694" s="104">
        <v>0</v>
      </c>
      <c r="W694" s="104"/>
      <c r="Y694"/>
      <c r="AC694"/>
    </row>
    <row r="695" spans="1:30" s="47" customFormat="1" x14ac:dyDescent="0.3">
      <c r="A695" s="40">
        <v>1952</v>
      </c>
      <c r="B695" s="88">
        <v>-28.7</v>
      </c>
      <c r="C695" s="88">
        <v>-26.3</v>
      </c>
      <c r="D695" s="88">
        <v>-27.1</v>
      </c>
      <c r="E695" s="88"/>
      <c r="H695" s="88">
        <v>-27.2</v>
      </c>
      <c r="J695" s="40" t="s">
        <v>11</v>
      </c>
      <c r="K695" s="88">
        <v>-27.2</v>
      </c>
      <c r="L695" s="32">
        <v>27.1</v>
      </c>
      <c r="M695" s="32">
        <v>-0.80000000000000071</v>
      </c>
      <c r="N695" s="32">
        <v>2.3999999999999986</v>
      </c>
      <c r="O695" s="32">
        <v>0.39999999999999858</v>
      </c>
      <c r="P695" s="128" t="str">
        <f t="shared" si="62"/>
        <v/>
      </c>
      <c r="Q695" s="128" t="str">
        <f t="shared" si="63"/>
        <v/>
      </c>
      <c r="R695" s="128" t="str">
        <f t="shared" si="64"/>
        <v/>
      </c>
      <c r="S695" s="112"/>
      <c r="T695" s="104">
        <v>0</v>
      </c>
      <c r="U695" s="104">
        <v>0</v>
      </c>
      <c r="V695" s="104">
        <v>0</v>
      </c>
      <c r="W695" s="104"/>
      <c r="Y695"/>
      <c r="AC695"/>
    </row>
    <row r="696" spans="1:30" x14ac:dyDescent="0.3">
      <c r="A696" s="4">
        <v>1953</v>
      </c>
      <c r="B696" s="37">
        <v>-29.3</v>
      </c>
      <c r="C696" s="37">
        <v>-27.1</v>
      </c>
      <c r="D696" s="37">
        <v>-27.8</v>
      </c>
      <c r="E696" s="37">
        <v>-28.5</v>
      </c>
      <c r="H696" s="37">
        <v>-27.1</v>
      </c>
      <c r="J696" s="4" t="s">
        <v>11</v>
      </c>
      <c r="K696" s="37">
        <v>-27.1</v>
      </c>
      <c r="L696" s="32">
        <v>-0.69999999999999929</v>
      </c>
      <c r="M696" s="32">
        <v>-0.69999999999999929</v>
      </c>
      <c r="N696" s="32">
        <v>2.1999999999999993</v>
      </c>
      <c r="O696" s="32">
        <v>5.0000000000004263E-2</v>
      </c>
      <c r="P696" s="128">
        <f t="shared" si="62"/>
        <v>0.80000000000000071</v>
      </c>
      <c r="Q696" s="128">
        <f t="shared" si="63"/>
        <v>-1.3999999999999986</v>
      </c>
      <c r="R696" s="128">
        <f t="shared" si="64"/>
        <v>-0.29999999999999716</v>
      </c>
      <c r="S696" s="98">
        <v>0</v>
      </c>
      <c r="T696" s="99">
        <v>0</v>
      </c>
      <c r="U696" s="99">
        <v>0</v>
      </c>
      <c r="V696" s="99">
        <v>0</v>
      </c>
      <c r="W696" s="99">
        <v>0</v>
      </c>
      <c r="X696" s="73" t="s">
        <v>16</v>
      </c>
      <c r="AC696"/>
      <c r="AD696"/>
    </row>
    <row r="697" spans="1:30" x14ac:dyDescent="0.3">
      <c r="A697" s="4">
        <v>1954</v>
      </c>
      <c r="B697" s="37">
        <v>-30</v>
      </c>
      <c r="C697" s="37">
        <v>-28.1</v>
      </c>
      <c r="D697" s="37">
        <v>-30.7</v>
      </c>
      <c r="E697" s="37">
        <v>-29.9</v>
      </c>
      <c r="H697" s="37">
        <v>-28.9</v>
      </c>
      <c r="J697" s="4" t="s">
        <v>18</v>
      </c>
      <c r="K697" s="37">
        <v>-28.9</v>
      </c>
      <c r="L697" s="32">
        <v>0.80000000000000071</v>
      </c>
      <c r="M697" s="32">
        <v>-2.5999999999999979</v>
      </c>
      <c r="N697" s="32">
        <v>1.8999999999999986</v>
      </c>
      <c r="O697" s="32">
        <v>-1.2499999999999964</v>
      </c>
      <c r="P697" s="128">
        <f t="shared" si="62"/>
        <v>-0.69999999999999929</v>
      </c>
      <c r="Q697" s="128">
        <f t="shared" si="63"/>
        <v>-2.5999999999999979</v>
      </c>
      <c r="R697" s="128">
        <f t="shared" si="64"/>
        <v>-1.6499999999999986</v>
      </c>
      <c r="S697" s="98">
        <v>1</v>
      </c>
      <c r="T697" s="99">
        <v>0</v>
      </c>
      <c r="U697" s="99">
        <v>0</v>
      </c>
      <c r="V697" s="99">
        <v>0</v>
      </c>
      <c r="W697" s="99">
        <v>0</v>
      </c>
      <c r="X697" s="73" t="s">
        <v>16</v>
      </c>
      <c r="AC697"/>
      <c r="AD697"/>
    </row>
    <row r="698" spans="1:30" s="47" customFormat="1" x14ac:dyDescent="0.3">
      <c r="A698" s="40">
        <v>1955</v>
      </c>
      <c r="B698" s="86">
        <v>-28.3</v>
      </c>
      <c r="C698" s="86">
        <v>-26.4</v>
      </c>
      <c r="D698" s="86">
        <v>-30.9</v>
      </c>
      <c r="E698" s="86"/>
      <c r="H698" s="86">
        <v>-27</v>
      </c>
      <c r="J698" s="40" t="s">
        <v>11</v>
      </c>
      <c r="K698" s="86">
        <v>-27</v>
      </c>
      <c r="L698" s="32">
        <v>30.9</v>
      </c>
      <c r="M698" s="32">
        <v>-4.5</v>
      </c>
      <c r="N698" s="32">
        <v>1.9000000000000021</v>
      </c>
      <c r="O698" s="32">
        <v>-3.5499999999999972</v>
      </c>
      <c r="P698" s="128" t="str">
        <f t="shared" si="62"/>
        <v/>
      </c>
      <c r="Q698" s="128" t="str">
        <f t="shared" si="63"/>
        <v/>
      </c>
      <c r="R698" s="128" t="str">
        <f t="shared" si="64"/>
        <v/>
      </c>
      <c r="S698" s="112"/>
      <c r="T698" s="104">
        <v>0</v>
      </c>
      <c r="U698" s="104">
        <v>0</v>
      </c>
      <c r="V698" s="104">
        <v>0</v>
      </c>
      <c r="W698" s="104"/>
      <c r="Y698"/>
    </row>
    <row r="699" spans="1:30" s="47" customFormat="1" x14ac:dyDescent="0.3">
      <c r="A699" s="40">
        <v>1956</v>
      </c>
      <c r="B699" s="86">
        <v>-31.4</v>
      </c>
      <c r="C699" s="86">
        <v>-29.8</v>
      </c>
      <c r="D699" s="86">
        <v>-30.8</v>
      </c>
      <c r="E699" s="86"/>
      <c r="H699" s="86">
        <v>-31.2</v>
      </c>
      <c r="J699" s="40" t="s">
        <v>18</v>
      </c>
      <c r="K699" s="86">
        <v>-31.2</v>
      </c>
      <c r="L699" s="32">
        <v>30.8</v>
      </c>
      <c r="M699" s="32">
        <v>-1</v>
      </c>
      <c r="N699" s="32">
        <v>1.5999999999999979</v>
      </c>
      <c r="O699" s="32">
        <v>-0.19999999999999929</v>
      </c>
      <c r="P699" s="128" t="str">
        <f t="shared" si="62"/>
        <v/>
      </c>
      <c r="Q699" s="128" t="str">
        <f t="shared" si="63"/>
        <v/>
      </c>
      <c r="R699" s="128" t="str">
        <f t="shared" si="64"/>
        <v/>
      </c>
      <c r="S699" s="112"/>
      <c r="T699" s="104">
        <v>0</v>
      </c>
      <c r="U699" s="104">
        <v>0</v>
      </c>
      <c r="V699" s="104">
        <v>0</v>
      </c>
      <c r="W699" s="104"/>
      <c r="Y699"/>
    </row>
    <row r="700" spans="1:30" s="47" customFormat="1" x14ac:dyDescent="0.3">
      <c r="A700" s="40">
        <v>1957</v>
      </c>
      <c r="B700" s="86">
        <v>-27.1</v>
      </c>
      <c r="C700" s="86">
        <v>-29.6</v>
      </c>
      <c r="D700" s="86">
        <v>-26.4</v>
      </c>
      <c r="E700" s="86"/>
      <c r="H700" s="86">
        <v>-24.7</v>
      </c>
      <c r="J700" s="40" t="s">
        <v>19</v>
      </c>
      <c r="K700" s="86">
        <v>-24.7</v>
      </c>
      <c r="L700" s="32">
        <v>26.4</v>
      </c>
      <c r="M700" s="32">
        <v>3.2000000000000028</v>
      </c>
      <c r="N700" s="32">
        <v>-2.5</v>
      </c>
      <c r="O700" s="32">
        <v>1.9500000000000028</v>
      </c>
      <c r="P700" s="128" t="str">
        <f t="shared" si="62"/>
        <v/>
      </c>
      <c r="Q700" s="128" t="str">
        <f t="shared" si="63"/>
        <v/>
      </c>
      <c r="R700" s="128" t="str">
        <f t="shared" si="64"/>
        <v/>
      </c>
      <c r="S700" s="112"/>
      <c r="T700" s="104"/>
      <c r="U700" s="104"/>
      <c r="V700" s="104"/>
      <c r="W700" s="104"/>
      <c r="Y700"/>
    </row>
    <row r="701" spans="1:30" x14ac:dyDescent="0.3">
      <c r="A701" s="4">
        <v>1958</v>
      </c>
      <c r="B701" s="37">
        <v>-31.1</v>
      </c>
      <c r="C701" s="37">
        <v>-30.6</v>
      </c>
      <c r="D701" s="37">
        <v>-30.6</v>
      </c>
      <c r="E701" s="37">
        <v>-30.2</v>
      </c>
      <c r="H701" s="37">
        <v>-30.9</v>
      </c>
      <c r="J701" s="4" t="s">
        <v>18</v>
      </c>
      <c r="K701" s="37">
        <v>-30.9</v>
      </c>
      <c r="L701" s="32">
        <v>0.40000000000000213</v>
      </c>
      <c r="M701" s="32">
        <v>0</v>
      </c>
      <c r="N701" s="32">
        <v>0.5</v>
      </c>
      <c r="O701" s="32">
        <v>0.45000000000000284</v>
      </c>
      <c r="P701" s="128">
        <f t="shared" si="62"/>
        <v>0.5</v>
      </c>
      <c r="Q701" s="128">
        <f t="shared" si="63"/>
        <v>0</v>
      </c>
      <c r="R701" s="128">
        <f t="shared" si="64"/>
        <v>0.25</v>
      </c>
      <c r="S701" s="98">
        <v>0</v>
      </c>
      <c r="T701" s="99">
        <v>0</v>
      </c>
      <c r="U701" s="99">
        <v>0</v>
      </c>
      <c r="V701" s="99">
        <v>0</v>
      </c>
      <c r="W701" s="99">
        <v>0</v>
      </c>
      <c r="X701" t="s">
        <v>16</v>
      </c>
      <c r="AC701"/>
      <c r="AD701"/>
    </row>
    <row r="702" spans="1:30" s="47" customFormat="1" x14ac:dyDescent="0.3">
      <c r="A702" s="40">
        <v>1959</v>
      </c>
      <c r="B702" s="86">
        <v>-28.7</v>
      </c>
      <c r="C702" s="86">
        <v>-30.5</v>
      </c>
      <c r="D702" s="86" t="str">
        <f>IF(AND(ISBLANK(F702),ISBLANK(G702)),"",IF(ISBLANK(F702),G702,IF(ISBLANK(G702),F702,(G702+F702)/2)))</f>
        <v/>
      </c>
      <c r="E702" s="86"/>
      <c r="H702" s="86">
        <v>-28.2</v>
      </c>
      <c r="J702" s="40" t="s">
        <v>11</v>
      </c>
      <c r="K702" s="86">
        <v>-28.2</v>
      </c>
      <c r="L702" s="32" t="e">
        <v>#VALUE!</v>
      </c>
      <c r="M702" s="32" t="e">
        <v>#VALUE!</v>
      </c>
      <c r="N702" s="32">
        <v>-1.8000000000000007</v>
      </c>
      <c r="O702" s="32" t="e">
        <v>#DIV/0!</v>
      </c>
      <c r="P702" s="128" t="str">
        <f t="shared" si="62"/>
        <v/>
      </c>
      <c r="Q702" s="128" t="str">
        <f t="shared" si="63"/>
        <v/>
      </c>
      <c r="R702" s="128" t="str">
        <f t="shared" si="64"/>
        <v/>
      </c>
      <c r="S702" s="112"/>
      <c r="T702" s="104"/>
      <c r="U702" s="104"/>
      <c r="V702" s="104"/>
      <c r="W702" s="104"/>
      <c r="Y702"/>
    </row>
    <row r="703" spans="1:30" x14ac:dyDescent="0.3">
      <c r="A703" s="4">
        <v>1960</v>
      </c>
      <c r="B703" s="37">
        <v>-32.6</v>
      </c>
      <c r="C703" s="37">
        <v>-31.8</v>
      </c>
      <c r="D703" s="37">
        <v>-31.2</v>
      </c>
      <c r="E703" s="37">
        <v>-30</v>
      </c>
      <c r="H703" s="37">
        <v>-32.1</v>
      </c>
      <c r="J703" s="4" t="s">
        <v>18</v>
      </c>
      <c r="K703" s="37">
        <v>-32.1</v>
      </c>
      <c r="L703" s="32">
        <v>1.1999999999999993</v>
      </c>
      <c r="M703" s="32">
        <v>0.60000000000000142</v>
      </c>
      <c r="N703" s="32">
        <v>0.80000000000000071</v>
      </c>
      <c r="O703" s="32">
        <v>1.6000000000000014</v>
      </c>
      <c r="P703" s="128">
        <f t="shared" si="62"/>
        <v>1.4000000000000021</v>
      </c>
      <c r="Q703" s="128">
        <f t="shared" si="63"/>
        <v>0.60000000000000142</v>
      </c>
      <c r="R703" s="128">
        <f t="shared" si="64"/>
        <v>1.0000000000000036</v>
      </c>
      <c r="S703" s="98">
        <v>0</v>
      </c>
      <c r="T703" s="99">
        <v>0</v>
      </c>
      <c r="U703" s="99">
        <v>0</v>
      </c>
      <c r="V703" s="99">
        <v>0</v>
      </c>
      <c r="W703" s="99">
        <v>0</v>
      </c>
      <c r="X703" s="73" t="s">
        <v>16</v>
      </c>
      <c r="AC703"/>
      <c r="AD703"/>
    </row>
    <row r="704" spans="1:30" x14ac:dyDescent="0.3">
      <c r="A704" s="4">
        <v>1961</v>
      </c>
      <c r="B704" s="37">
        <v>-30.4</v>
      </c>
      <c r="C704" s="37">
        <v>-28.2</v>
      </c>
      <c r="D704" s="37">
        <v>-29.5</v>
      </c>
      <c r="E704" s="37">
        <v>-28.9</v>
      </c>
      <c r="H704" s="37">
        <v>-29.9</v>
      </c>
      <c r="J704" s="4" t="s">
        <v>18</v>
      </c>
      <c r="K704" s="37">
        <v>-29.9</v>
      </c>
      <c r="L704" s="32">
        <v>0.60000000000000142</v>
      </c>
      <c r="M704" s="32">
        <v>-1.3000000000000007</v>
      </c>
      <c r="N704" s="32">
        <v>2.1999999999999993</v>
      </c>
      <c r="O704" s="32">
        <v>9.9999999999997868E-2</v>
      </c>
      <c r="P704" s="128">
        <f t="shared" si="62"/>
        <v>0.89999999999999858</v>
      </c>
      <c r="Q704" s="128">
        <f t="shared" si="63"/>
        <v>-1.3000000000000007</v>
      </c>
      <c r="R704" s="128">
        <f t="shared" si="64"/>
        <v>-0.20000000000000284</v>
      </c>
      <c r="S704" s="98">
        <v>1</v>
      </c>
      <c r="T704" s="99">
        <v>0</v>
      </c>
      <c r="U704" s="99">
        <v>0</v>
      </c>
      <c r="V704" s="99">
        <v>0</v>
      </c>
      <c r="W704" s="99">
        <v>0</v>
      </c>
      <c r="X704" s="73" t="s">
        <v>16</v>
      </c>
      <c r="AC704"/>
      <c r="AD704"/>
    </row>
    <row r="705" spans="1:30" x14ac:dyDescent="0.3">
      <c r="A705" s="4">
        <v>1962</v>
      </c>
      <c r="B705" s="37">
        <v>-31.6</v>
      </c>
      <c r="C705" s="37">
        <v>-30.3</v>
      </c>
      <c r="D705" s="37">
        <v>-30.1</v>
      </c>
      <c r="E705" s="37">
        <v>-29.5</v>
      </c>
      <c r="H705" s="37">
        <v>-30.7</v>
      </c>
      <c r="J705" s="4" t="s">
        <v>18</v>
      </c>
      <c r="K705" s="37">
        <v>-30.7</v>
      </c>
      <c r="L705" s="32">
        <v>0.60000000000000142</v>
      </c>
      <c r="M705" s="32">
        <v>0.19999999999999929</v>
      </c>
      <c r="N705" s="32">
        <v>1.3000000000000007</v>
      </c>
      <c r="O705" s="32">
        <v>1.1500000000000021</v>
      </c>
      <c r="P705" s="128">
        <f t="shared" si="62"/>
        <v>1.5</v>
      </c>
      <c r="Q705" s="128">
        <f t="shared" si="63"/>
        <v>0.19999999999999929</v>
      </c>
      <c r="R705" s="128">
        <f t="shared" si="64"/>
        <v>0.85000000000000142</v>
      </c>
      <c r="S705" s="98">
        <v>0</v>
      </c>
      <c r="T705" s="99">
        <v>0</v>
      </c>
      <c r="U705" s="99">
        <v>0</v>
      </c>
      <c r="V705" s="99">
        <v>0</v>
      </c>
      <c r="W705" s="99">
        <v>0</v>
      </c>
      <c r="X705" s="73" t="s">
        <v>16</v>
      </c>
      <c r="AC705"/>
      <c r="AD705"/>
    </row>
    <row r="706" spans="1:30" x14ac:dyDescent="0.3">
      <c r="A706" s="4">
        <v>1963</v>
      </c>
      <c r="B706" s="37">
        <v>-31.6</v>
      </c>
      <c r="C706" s="37">
        <v>-30.8</v>
      </c>
      <c r="D706" s="37">
        <v>-30.6</v>
      </c>
      <c r="E706" s="37">
        <v>-29.8</v>
      </c>
      <c r="H706" s="37">
        <v>-31.2</v>
      </c>
      <c r="J706" s="4" t="s">
        <v>18</v>
      </c>
      <c r="K706" s="37">
        <v>-31.2</v>
      </c>
      <c r="L706" s="32">
        <v>0.80000000000000071</v>
      </c>
      <c r="M706" s="32">
        <v>0.19999999999999929</v>
      </c>
      <c r="N706" s="32">
        <v>0.80000000000000071</v>
      </c>
      <c r="O706" s="32">
        <v>1</v>
      </c>
      <c r="P706" s="128">
        <f t="shared" si="62"/>
        <v>1</v>
      </c>
      <c r="Q706" s="128">
        <f t="shared" si="63"/>
        <v>0.19999999999999929</v>
      </c>
      <c r="R706" s="128">
        <f t="shared" si="64"/>
        <v>0.60000000000000142</v>
      </c>
      <c r="S706" s="98">
        <v>0</v>
      </c>
      <c r="T706" s="99">
        <v>0</v>
      </c>
      <c r="U706" s="99">
        <v>0</v>
      </c>
      <c r="V706" s="99">
        <v>0</v>
      </c>
      <c r="W706" s="99">
        <v>0</v>
      </c>
      <c r="X706" s="73" t="s">
        <v>16</v>
      </c>
      <c r="AC706"/>
      <c r="AD706"/>
    </row>
    <row r="707" spans="1:30" x14ac:dyDescent="0.3">
      <c r="A707" s="4">
        <v>1964</v>
      </c>
      <c r="B707">
        <v>-30.6</v>
      </c>
      <c r="C707">
        <v>-29.9</v>
      </c>
      <c r="D707">
        <v>-29.7</v>
      </c>
      <c r="E707">
        <v>-29.2</v>
      </c>
      <c r="H707">
        <v>-29.2</v>
      </c>
      <c r="J707" s="4" t="s">
        <v>18</v>
      </c>
      <c r="L707" s="32">
        <v>0.5</v>
      </c>
      <c r="M707" s="32">
        <v>0.19999999999999929</v>
      </c>
      <c r="N707" s="32">
        <v>0.70000000000000284</v>
      </c>
      <c r="O707" s="32">
        <v>0.80000000000000071</v>
      </c>
      <c r="P707" s="128">
        <f t="shared" ref="P707:P770" si="66">IF(OR(E707="", D707="", B707="", C707=""), "", MIN(E707,D707)-MIN(B707,C707))</f>
        <v>0.90000000000000213</v>
      </c>
      <c r="Q707" s="128">
        <f t="shared" ref="Q707:Q770" si="67">IF(OR(E707="", D707="", B707="", C707=""), "", MIN(E707,D707)-MAX(B707,C707))</f>
        <v>0.19999999999999929</v>
      </c>
      <c r="R707" s="128">
        <f t="shared" ref="R707:R770" si="68">IF(OR(E707="", D707="", B707="", C707=""), "", MIN(E707,D707)-AVERAGE(B707,C707))</f>
        <v>0.55000000000000071</v>
      </c>
      <c r="S707" s="98">
        <v>0</v>
      </c>
      <c r="T707" s="99">
        <v>0</v>
      </c>
      <c r="U707" s="99">
        <v>0</v>
      </c>
      <c r="V707" s="99">
        <v>0</v>
      </c>
      <c r="W707" s="99">
        <v>0</v>
      </c>
      <c r="AC707" s="4"/>
      <c r="AD707" s="80"/>
    </row>
    <row r="708" spans="1:30" x14ac:dyDescent="0.3">
      <c r="A708" s="4">
        <v>1965</v>
      </c>
      <c r="B708">
        <v>-30.1</v>
      </c>
      <c r="C708">
        <v>-29.4</v>
      </c>
      <c r="D708">
        <v>-29</v>
      </c>
      <c r="E708">
        <v>-28.5</v>
      </c>
      <c r="H708">
        <v>-29</v>
      </c>
      <c r="J708" s="4" t="s">
        <v>18</v>
      </c>
      <c r="L708" s="32">
        <v>0.5</v>
      </c>
      <c r="M708" s="32">
        <v>0.39999999999999858</v>
      </c>
      <c r="N708" s="32">
        <v>0.70000000000000284</v>
      </c>
      <c r="O708" s="32">
        <v>1</v>
      </c>
      <c r="P708" s="128">
        <f t="shared" si="66"/>
        <v>1.1000000000000014</v>
      </c>
      <c r="Q708" s="128">
        <f t="shared" si="67"/>
        <v>0.39999999999999858</v>
      </c>
      <c r="R708" s="128">
        <f t="shared" si="68"/>
        <v>0.75</v>
      </c>
      <c r="S708" s="98">
        <v>0</v>
      </c>
      <c r="T708" s="99">
        <v>0</v>
      </c>
      <c r="U708" s="99">
        <v>0</v>
      </c>
      <c r="V708" s="99">
        <v>0</v>
      </c>
      <c r="W708" s="99">
        <v>0</v>
      </c>
      <c r="AC708" s="4"/>
      <c r="AD708" s="80"/>
    </row>
    <row r="709" spans="1:30" x14ac:dyDescent="0.3">
      <c r="A709" s="4">
        <v>1966</v>
      </c>
      <c r="B709">
        <v>-28.9</v>
      </c>
      <c r="C709">
        <v>-28.3</v>
      </c>
      <c r="D709">
        <v>-28</v>
      </c>
      <c r="E709">
        <v>-27.5</v>
      </c>
      <c r="H709">
        <v>-28</v>
      </c>
      <c r="J709" s="4" t="s">
        <v>18</v>
      </c>
      <c r="L709" s="32">
        <v>0.5</v>
      </c>
      <c r="M709" s="32">
        <v>0.30000000000000071</v>
      </c>
      <c r="N709" s="32">
        <v>0.59999999999999787</v>
      </c>
      <c r="O709" s="32">
        <v>0.85000000000000142</v>
      </c>
      <c r="P709" s="128">
        <f t="shared" si="66"/>
        <v>0.89999999999999858</v>
      </c>
      <c r="Q709" s="128">
        <f t="shared" si="67"/>
        <v>0.30000000000000071</v>
      </c>
      <c r="R709" s="128">
        <f t="shared" si="68"/>
        <v>0.60000000000000142</v>
      </c>
      <c r="S709" s="98">
        <v>0</v>
      </c>
      <c r="T709" s="99">
        <v>0</v>
      </c>
      <c r="U709" s="99">
        <v>0</v>
      </c>
      <c r="V709" s="99">
        <v>0</v>
      </c>
      <c r="W709" s="99">
        <v>0</v>
      </c>
      <c r="AD709" s="37"/>
    </row>
    <row r="710" spans="1:30" x14ac:dyDescent="0.3">
      <c r="A710" s="4">
        <v>1967</v>
      </c>
      <c r="B710">
        <v>-29</v>
      </c>
      <c r="C710">
        <v>-28.7</v>
      </c>
      <c r="D710">
        <v>-28.1</v>
      </c>
      <c r="E710">
        <v>-27.8</v>
      </c>
      <c r="H710">
        <v>-27.7</v>
      </c>
      <c r="J710" s="4" t="s">
        <v>18</v>
      </c>
      <c r="L710" s="32">
        <v>0.30000000000000071</v>
      </c>
      <c r="M710" s="32">
        <v>0.59999999999999787</v>
      </c>
      <c r="N710" s="32">
        <v>0.30000000000000071</v>
      </c>
      <c r="O710" s="32">
        <v>0.89999999999999858</v>
      </c>
      <c r="P710" s="128">
        <f t="shared" si="66"/>
        <v>0.89999999999999858</v>
      </c>
      <c r="Q710" s="128">
        <f t="shared" si="67"/>
        <v>0.59999999999999787</v>
      </c>
      <c r="R710" s="128">
        <f t="shared" si="68"/>
        <v>0.75</v>
      </c>
      <c r="S710" s="98">
        <v>0</v>
      </c>
      <c r="T710" s="99">
        <v>0</v>
      </c>
      <c r="U710" s="99">
        <v>0</v>
      </c>
      <c r="V710" s="99">
        <v>0</v>
      </c>
      <c r="W710" s="99">
        <v>0</v>
      </c>
      <c r="AD710" s="37"/>
    </row>
    <row r="711" spans="1:30" x14ac:dyDescent="0.3">
      <c r="A711" s="4">
        <v>1968</v>
      </c>
      <c r="B711">
        <v>-30.2</v>
      </c>
      <c r="C711">
        <v>-30.7</v>
      </c>
      <c r="D711">
        <v>-30.2</v>
      </c>
      <c r="E711">
        <v>-29.9</v>
      </c>
      <c r="H711">
        <v>-29.9</v>
      </c>
      <c r="J711" s="4" t="s">
        <v>18</v>
      </c>
      <c r="L711" s="32">
        <v>0.30000000000000071</v>
      </c>
      <c r="M711" s="32">
        <v>0.5</v>
      </c>
      <c r="N711" s="32">
        <v>-0.5</v>
      </c>
      <c r="O711" s="32">
        <v>0.40000000000000213</v>
      </c>
      <c r="P711" s="128">
        <f t="shared" si="66"/>
        <v>0.5</v>
      </c>
      <c r="Q711" s="128">
        <f t="shared" si="67"/>
        <v>0</v>
      </c>
      <c r="R711" s="128">
        <f t="shared" si="68"/>
        <v>0.25</v>
      </c>
      <c r="S711" s="98">
        <v>0</v>
      </c>
      <c r="T711" s="99">
        <v>1</v>
      </c>
      <c r="U711" s="99">
        <v>1</v>
      </c>
      <c r="V711" s="99">
        <v>1</v>
      </c>
      <c r="W711" s="99">
        <v>0</v>
      </c>
      <c r="AD711" s="37"/>
    </row>
    <row r="712" spans="1:30" x14ac:dyDescent="0.3">
      <c r="A712" s="4">
        <v>1969</v>
      </c>
      <c r="B712">
        <v>-30.4</v>
      </c>
      <c r="C712">
        <v>-30.9</v>
      </c>
      <c r="D712">
        <v>-30.5</v>
      </c>
      <c r="E712">
        <v>-30</v>
      </c>
      <c r="H712">
        <v>-30</v>
      </c>
      <c r="J712" s="4" t="s">
        <v>18</v>
      </c>
      <c r="L712" s="32">
        <v>0.5</v>
      </c>
      <c r="M712" s="32">
        <v>0.39999999999999858</v>
      </c>
      <c r="N712" s="32">
        <v>-0.5</v>
      </c>
      <c r="O712" s="32">
        <v>0.39999999999999858</v>
      </c>
      <c r="P712" s="128">
        <f t="shared" si="66"/>
        <v>0.39999999999999858</v>
      </c>
      <c r="Q712" s="128">
        <f t="shared" si="67"/>
        <v>-0.10000000000000142</v>
      </c>
      <c r="R712" s="128">
        <f t="shared" si="68"/>
        <v>0.14999999999999858</v>
      </c>
      <c r="S712" s="98">
        <v>0</v>
      </c>
      <c r="T712" s="99">
        <v>1</v>
      </c>
      <c r="U712" s="99">
        <v>1</v>
      </c>
      <c r="V712" s="99">
        <v>1</v>
      </c>
      <c r="W712" s="99">
        <v>0</v>
      </c>
      <c r="AD712" s="37"/>
    </row>
    <row r="713" spans="1:30" x14ac:dyDescent="0.3">
      <c r="A713" s="4">
        <v>1970</v>
      </c>
      <c r="B713" s="37">
        <v>-27.81</v>
      </c>
      <c r="C713" s="37">
        <v>-27.83</v>
      </c>
      <c r="D713" s="37">
        <v>-27.34</v>
      </c>
      <c r="E713" s="37">
        <v>-27.82</v>
      </c>
      <c r="H713" s="37">
        <v>-27.49</v>
      </c>
      <c r="J713" s="40" t="s">
        <v>11</v>
      </c>
      <c r="L713" s="32">
        <v>-0.48000000000000043</v>
      </c>
      <c r="M713" s="32">
        <v>0.48999999999999844</v>
      </c>
      <c r="N713" s="32">
        <v>-1.9999999999999574E-2</v>
      </c>
      <c r="O713" s="32">
        <v>0.24000000000000199</v>
      </c>
      <c r="P713" s="128">
        <f t="shared" si="66"/>
        <v>9.9999999999980105E-3</v>
      </c>
      <c r="Q713" s="128">
        <f t="shared" si="67"/>
        <v>-1.0000000000001563E-2</v>
      </c>
      <c r="R713" s="128">
        <f t="shared" si="68"/>
        <v>0</v>
      </c>
      <c r="S713" s="98">
        <v>0</v>
      </c>
      <c r="T713" s="99">
        <v>1</v>
      </c>
      <c r="U713" s="99">
        <v>1</v>
      </c>
      <c r="V713" s="99">
        <v>1</v>
      </c>
      <c r="W713" s="99">
        <v>0</v>
      </c>
      <c r="AD713" s="37"/>
    </row>
    <row r="714" spans="1:30" x14ac:dyDescent="0.3">
      <c r="A714" s="4">
        <v>1971</v>
      </c>
      <c r="B714" s="37">
        <v>-27.78</v>
      </c>
      <c r="C714" s="37">
        <v>-27.77</v>
      </c>
      <c r="D714" s="37">
        <v>-27.27</v>
      </c>
      <c r="E714" s="37">
        <v>-27.77</v>
      </c>
      <c r="H714" s="37">
        <v>-27.5</v>
      </c>
      <c r="J714" s="40" t="s">
        <v>11</v>
      </c>
      <c r="L714" s="32">
        <v>-0.5</v>
      </c>
      <c r="M714" s="32">
        <v>0.5</v>
      </c>
      <c r="N714" s="32">
        <v>1.0000000000001563E-2</v>
      </c>
      <c r="O714" s="32">
        <v>0.25499999999999901</v>
      </c>
      <c r="P714" s="128">
        <f t="shared" si="66"/>
        <v>1.0000000000001563E-2</v>
      </c>
      <c r="Q714" s="128">
        <f t="shared" si="67"/>
        <v>0</v>
      </c>
      <c r="R714" s="128">
        <f t="shared" si="68"/>
        <v>4.9999999999990052E-3</v>
      </c>
      <c r="S714" s="98">
        <v>0</v>
      </c>
      <c r="T714" s="99">
        <v>1</v>
      </c>
      <c r="U714" s="99">
        <v>1</v>
      </c>
      <c r="V714" s="99">
        <v>1</v>
      </c>
      <c r="W714" s="99">
        <v>0</v>
      </c>
      <c r="AD714" s="37"/>
    </row>
    <row r="715" spans="1:30" x14ac:dyDescent="0.3">
      <c r="A715" s="4">
        <v>1972</v>
      </c>
      <c r="B715" s="37">
        <v>-27.81</v>
      </c>
      <c r="C715" s="37">
        <v>-27.62</v>
      </c>
      <c r="D715" s="37">
        <v>-27.22</v>
      </c>
      <c r="E715" s="37">
        <v>-27.47</v>
      </c>
      <c r="H715" s="37">
        <v>-27.6</v>
      </c>
      <c r="J715" s="40" t="s">
        <v>11</v>
      </c>
      <c r="L715" s="32">
        <v>-0.25</v>
      </c>
      <c r="M715" s="32">
        <v>0.40000000000000213</v>
      </c>
      <c r="N715" s="32">
        <v>0.18999999999999773</v>
      </c>
      <c r="O715" s="32">
        <v>0.37000000000000099</v>
      </c>
      <c r="P715" s="128">
        <f t="shared" si="66"/>
        <v>0.33999999999999986</v>
      </c>
      <c r="Q715" s="128">
        <f t="shared" si="67"/>
        <v>0.15000000000000213</v>
      </c>
      <c r="R715" s="128">
        <f t="shared" si="68"/>
        <v>0.24500000000000099</v>
      </c>
      <c r="S715" s="98">
        <v>0</v>
      </c>
      <c r="T715" s="99">
        <v>0</v>
      </c>
      <c r="U715" s="99">
        <v>0</v>
      </c>
      <c r="V715" s="99">
        <v>0</v>
      </c>
      <c r="W715" s="99">
        <v>0</v>
      </c>
      <c r="AD715" s="37"/>
    </row>
    <row r="716" spans="1:30" x14ac:dyDescent="0.3">
      <c r="A716" s="4">
        <v>1973</v>
      </c>
      <c r="B716" s="37">
        <v>-27.91</v>
      </c>
      <c r="C716" s="37">
        <v>-27.78</v>
      </c>
      <c r="D716" s="37">
        <v>-27.28</v>
      </c>
      <c r="E716" s="37">
        <v>-27.92</v>
      </c>
      <c r="H716" s="37">
        <v>-27.54</v>
      </c>
      <c r="J716" s="40" t="s">
        <v>11</v>
      </c>
      <c r="L716" s="32">
        <v>-0.64000000000000057</v>
      </c>
      <c r="M716" s="32">
        <v>0.5</v>
      </c>
      <c r="N716" s="32">
        <v>0.12999999999999901</v>
      </c>
      <c r="O716" s="32">
        <v>0.24499999999999744</v>
      </c>
      <c r="P716" s="128">
        <f t="shared" si="66"/>
        <v>-1.0000000000001563E-2</v>
      </c>
      <c r="Q716" s="128">
        <f t="shared" si="67"/>
        <v>-0.14000000000000057</v>
      </c>
      <c r="R716" s="128">
        <f t="shared" si="68"/>
        <v>-7.5000000000002842E-2</v>
      </c>
      <c r="S716" s="98">
        <v>0</v>
      </c>
      <c r="T716" s="99">
        <v>0</v>
      </c>
      <c r="U716" s="99">
        <v>0</v>
      </c>
      <c r="V716" s="99">
        <v>0</v>
      </c>
      <c r="W716" s="99">
        <v>0</v>
      </c>
      <c r="AD716" s="37"/>
    </row>
    <row r="717" spans="1:30" x14ac:dyDescent="0.3">
      <c r="A717" s="4">
        <v>1974</v>
      </c>
      <c r="B717" s="37">
        <v>-27.97</v>
      </c>
      <c r="C717" s="37">
        <v>-27.69</v>
      </c>
      <c r="D717" s="37">
        <v>-27.32</v>
      </c>
      <c r="E717" s="37">
        <v>-27.97</v>
      </c>
      <c r="H717" s="37">
        <v>-27.48</v>
      </c>
      <c r="J717" s="40" t="s">
        <v>11</v>
      </c>
      <c r="L717" s="32">
        <v>-0.64999999999999858</v>
      </c>
      <c r="M717" s="32">
        <v>0.37000000000000099</v>
      </c>
      <c r="N717" s="32">
        <v>0.27999999999999758</v>
      </c>
      <c r="O717" s="32">
        <v>0.18499999999999872</v>
      </c>
      <c r="P717" s="128">
        <f t="shared" si="66"/>
        <v>0</v>
      </c>
      <c r="Q717" s="128">
        <f t="shared" si="67"/>
        <v>-0.27999999999999758</v>
      </c>
      <c r="R717" s="128">
        <f t="shared" si="68"/>
        <v>-0.14000000000000057</v>
      </c>
      <c r="S717" s="98">
        <v>0</v>
      </c>
      <c r="T717" s="99">
        <v>0</v>
      </c>
      <c r="U717" s="99">
        <v>0</v>
      </c>
      <c r="V717" s="99">
        <v>0</v>
      </c>
      <c r="W717" s="99">
        <v>0</v>
      </c>
      <c r="AD717" s="37"/>
    </row>
    <row r="718" spans="1:30" x14ac:dyDescent="0.3">
      <c r="A718" s="4">
        <v>1975</v>
      </c>
      <c r="B718" s="37">
        <v>-28.02</v>
      </c>
      <c r="C718" s="37">
        <v>-27.79</v>
      </c>
      <c r="D718" s="37">
        <v>-27.4</v>
      </c>
      <c r="E718" s="37">
        <v>-27.92</v>
      </c>
      <c r="H718" s="37">
        <v>-27.54</v>
      </c>
      <c r="J718" s="40" t="s">
        <v>11</v>
      </c>
      <c r="L718" s="32">
        <v>-0.52000000000000313</v>
      </c>
      <c r="M718" s="32">
        <v>0.39000000000000057</v>
      </c>
      <c r="N718" s="32">
        <v>0.23000000000000043</v>
      </c>
      <c r="O718" s="32">
        <v>0.24500000000000099</v>
      </c>
      <c r="P718" s="128">
        <f t="shared" si="66"/>
        <v>9.9999999999997868E-2</v>
      </c>
      <c r="Q718" s="128">
        <f t="shared" si="67"/>
        <v>-0.13000000000000256</v>
      </c>
      <c r="R718" s="128">
        <f t="shared" si="68"/>
        <v>-1.5000000000000568E-2</v>
      </c>
      <c r="S718" s="98">
        <v>0</v>
      </c>
      <c r="T718" s="99">
        <v>0</v>
      </c>
      <c r="U718" s="99">
        <v>0</v>
      </c>
      <c r="V718" s="99">
        <v>0</v>
      </c>
      <c r="W718" s="99">
        <v>0</v>
      </c>
      <c r="AD718" s="37"/>
    </row>
    <row r="719" spans="1:30" x14ac:dyDescent="0.3">
      <c r="A719" s="4">
        <v>1976</v>
      </c>
      <c r="B719" s="37">
        <v>-27.98</v>
      </c>
      <c r="C719" s="37">
        <v>-27.98</v>
      </c>
      <c r="D719" s="37">
        <v>-27.44</v>
      </c>
      <c r="E719" s="37">
        <v>-28.04</v>
      </c>
      <c r="H719" s="37">
        <v>-27.57</v>
      </c>
      <c r="J719" s="40" t="s">
        <v>11</v>
      </c>
      <c r="L719" s="32">
        <v>-0.59999999999999787</v>
      </c>
      <c r="M719" s="32">
        <v>0.53999999999999915</v>
      </c>
      <c r="N719" s="32">
        <v>0</v>
      </c>
      <c r="O719" s="32">
        <v>0.23999999999999844</v>
      </c>
      <c r="P719" s="128">
        <f t="shared" si="66"/>
        <v>-5.9999999999998721E-2</v>
      </c>
      <c r="Q719" s="128">
        <f t="shared" si="67"/>
        <v>-5.9999999999998721E-2</v>
      </c>
      <c r="R719" s="128">
        <f t="shared" si="68"/>
        <v>-5.9999999999998721E-2</v>
      </c>
      <c r="S719" s="98">
        <v>0</v>
      </c>
      <c r="T719" s="99">
        <v>0</v>
      </c>
      <c r="U719" s="99">
        <v>0</v>
      </c>
      <c r="V719" s="99">
        <v>0</v>
      </c>
      <c r="W719" s="99">
        <v>0</v>
      </c>
      <c r="AD719" s="37"/>
    </row>
    <row r="720" spans="1:30" x14ac:dyDescent="0.3">
      <c r="A720" s="4">
        <v>1977</v>
      </c>
      <c r="B720" s="37">
        <v>-27.99</v>
      </c>
      <c r="C720" s="37">
        <v>-27.96</v>
      </c>
      <c r="D720" s="37">
        <v>-27.53</v>
      </c>
      <c r="E720" s="37">
        <v>-27.94</v>
      </c>
      <c r="H720" s="37">
        <v>-27.68</v>
      </c>
      <c r="J720" s="40" t="s">
        <v>11</v>
      </c>
      <c r="L720" s="32">
        <v>-0.41000000000000014</v>
      </c>
      <c r="M720" s="32">
        <v>0.42999999999999972</v>
      </c>
      <c r="N720" s="32">
        <v>2.9999999999997584E-2</v>
      </c>
      <c r="O720" s="32">
        <v>0.24000000000000199</v>
      </c>
      <c r="P720" s="128">
        <f t="shared" si="66"/>
        <v>4.9999999999997158E-2</v>
      </c>
      <c r="Q720" s="128">
        <f t="shared" si="67"/>
        <v>1.9999999999999574E-2</v>
      </c>
      <c r="R720" s="128">
        <f t="shared" si="68"/>
        <v>3.5000000000000142E-2</v>
      </c>
      <c r="S720" s="98">
        <v>0</v>
      </c>
      <c r="T720" s="99">
        <v>0</v>
      </c>
      <c r="U720" s="99">
        <v>0</v>
      </c>
      <c r="V720" s="99">
        <v>0</v>
      </c>
      <c r="W720" s="99">
        <v>0</v>
      </c>
    </row>
    <row r="721" spans="1:23" x14ac:dyDescent="0.3">
      <c r="A721" s="4">
        <v>1978</v>
      </c>
      <c r="B721" s="37">
        <v>-28</v>
      </c>
      <c r="C721" s="37">
        <v>-27.9</v>
      </c>
      <c r="D721" s="37">
        <v>-27.48</v>
      </c>
      <c r="E721" s="37">
        <v>-27.9</v>
      </c>
      <c r="H721" s="37">
        <v>-27.5</v>
      </c>
      <c r="J721" s="40" t="s">
        <v>11</v>
      </c>
      <c r="L721" s="32">
        <v>-0.41999999999999815</v>
      </c>
      <c r="M721" s="32">
        <v>0.41999999999999815</v>
      </c>
      <c r="N721" s="32">
        <v>0.10000000000000142</v>
      </c>
      <c r="O721" s="32">
        <v>0.26000000000000156</v>
      </c>
      <c r="P721" s="128">
        <f t="shared" si="66"/>
        <v>0.10000000000000142</v>
      </c>
      <c r="Q721" s="128">
        <f t="shared" si="67"/>
        <v>0</v>
      </c>
      <c r="R721" s="128">
        <f t="shared" si="68"/>
        <v>5.0000000000000711E-2</v>
      </c>
      <c r="S721" s="98">
        <v>0</v>
      </c>
      <c r="T721" s="99">
        <v>0</v>
      </c>
      <c r="U721" s="99">
        <v>0</v>
      </c>
      <c r="V721" s="99">
        <v>0</v>
      </c>
      <c r="W721" s="99">
        <v>0</v>
      </c>
    </row>
    <row r="722" spans="1:23" x14ac:dyDescent="0.3">
      <c r="A722" s="4">
        <v>1979</v>
      </c>
      <c r="B722" s="37">
        <v>-27.81</v>
      </c>
      <c r="C722" s="37">
        <v>-27.67</v>
      </c>
      <c r="D722" s="37">
        <v>-27.23</v>
      </c>
      <c r="E722" s="37">
        <v>-27.58</v>
      </c>
      <c r="H722" s="37">
        <v>-27.47</v>
      </c>
      <c r="J722" s="40" t="s">
        <v>11</v>
      </c>
      <c r="L722" s="32">
        <v>-0.34999999999999787</v>
      </c>
      <c r="M722" s="32">
        <v>0.44000000000000128</v>
      </c>
      <c r="N722" s="32">
        <v>0.13999999999999702</v>
      </c>
      <c r="O722" s="32">
        <v>0.33500000000000085</v>
      </c>
      <c r="P722" s="128">
        <f t="shared" si="66"/>
        <v>0.23000000000000043</v>
      </c>
      <c r="Q722" s="128">
        <f t="shared" si="67"/>
        <v>9.0000000000003411E-2</v>
      </c>
      <c r="R722" s="128">
        <f t="shared" si="68"/>
        <v>0.16000000000000369</v>
      </c>
      <c r="S722" s="98">
        <v>0</v>
      </c>
      <c r="T722" s="99">
        <v>0</v>
      </c>
      <c r="U722" s="99">
        <v>0</v>
      </c>
      <c r="V722" s="99">
        <v>0</v>
      </c>
      <c r="W722" s="99">
        <v>0</v>
      </c>
    </row>
    <row r="723" spans="1:23" x14ac:dyDescent="0.3">
      <c r="A723" s="4">
        <v>1980</v>
      </c>
      <c r="B723" s="37">
        <v>-27.87</v>
      </c>
      <c r="C723" s="37">
        <v>-27.72</v>
      </c>
      <c r="D723" s="37">
        <v>-27.11</v>
      </c>
      <c r="E723" s="37">
        <v>-27.49</v>
      </c>
      <c r="H723" s="37">
        <v>-27.56</v>
      </c>
      <c r="J723" s="40" t="s">
        <v>11</v>
      </c>
      <c r="L723" s="32">
        <v>-0.37999999999999901</v>
      </c>
      <c r="M723" s="32">
        <v>0.60999999999999943</v>
      </c>
      <c r="N723" s="32">
        <v>0.15000000000000213</v>
      </c>
      <c r="O723" s="32">
        <v>0.49500000000000455</v>
      </c>
      <c r="P723" s="128">
        <f t="shared" si="66"/>
        <v>0.38000000000000256</v>
      </c>
      <c r="Q723" s="128">
        <f t="shared" si="67"/>
        <v>0.23000000000000043</v>
      </c>
      <c r="R723" s="128">
        <f t="shared" si="68"/>
        <v>0.30500000000000327</v>
      </c>
      <c r="S723" s="98">
        <v>0</v>
      </c>
      <c r="T723" s="99">
        <v>0</v>
      </c>
      <c r="U723" s="99">
        <v>0</v>
      </c>
      <c r="V723" s="99">
        <v>0</v>
      </c>
      <c r="W723" s="99">
        <v>0</v>
      </c>
    </row>
    <row r="724" spans="1:23" x14ac:dyDescent="0.3">
      <c r="A724" s="4">
        <v>1981</v>
      </c>
      <c r="B724">
        <v>-31.5</v>
      </c>
      <c r="C724">
        <v>-29.7</v>
      </c>
      <c r="D724">
        <v>-28.3</v>
      </c>
      <c r="E724">
        <v>-27.8</v>
      </c>
      <c r="H724">
        <v>-31.3</v>
      </c>
      <c r="J724" s="40" t="s">
        <v>18</v>
      </c>
      <c r="L724" s="32">
        <v>0.5</v>
      </c>
      <c r="M724" s="32">
        <v>1.3999999999999986</v>
      </c>
      <c r="N724" s="32">
        <v>1.8000000000000007</v>
      </c>
      <c r="O724" s="32">
        <v>2.5500000000000007</v>
      </c>
      <c r="P724" s="128">
        <f t="shared" si="66"/>
        <v>3.1999999999999993</v>
      </c>
      <c r="Q724" s="128">
        <f t="shared" si="67"/>
        <v>1.3999999999999986</v>
      </c>
      <c r="R724" s="128">
        <f t="shared" si="68"/>
        <v>2.3000000000000007</v>
      </c>
      <c r="S724" s="98">
        <v>0</v>
      </c>
      <c r="T724" s="99">
        <v>0</v>
      </c>
      <c r="U724" s="99">
        <v>0</v>
      </c>
      <c r="V724" s="99">
        <v>0</v>
      </c>
      <c r="W724" s="99">
        <v>1</v>
      </c>
    </row>
    <row r="725" spans="1:23" x14ac:dyDescent="0.3">
      <c r="A725" s="4">
        <v>1982</v>
      </c>
      <c r="B725">
        <v>-29.17</v>
      </c>
      <c r="C725">
        <v>-24.88</v>
      </c>
      <c r="D725">
        <v>-26.47</v>
      </c>
      <c r="E725">
        <v>-26.34</v>
      </c>
      <c r="J725" s="40" t="s">
        <v>11</v>
      </c>
      <c r="L725" s="32">
        <v>0.12999999999999901</v>
      </c>
      <c r="M725" s="32">
        <v>-1.5899999999999999</v>
      </c>
      <c r="N725" s="32">
        <v>4.2900000000000027</v>
      </c>
      <c r="O725" s="32">
        <v>0.61999999999999744</v>
      </c>
      <c r="P725" s="128">
        <f t="shared" si="66"/>
        <v>2.7000000000000028</v>
      </c>
      <c r="Q725" s="128">
        <f t="shared" si="67"/>
        <v>-1.5899999999999999</v>
      </c>
      <c r="R725" s="128">
        <f t="shared" si="68"/>
        <v>0.55499999999999972</v>
      </c>
      <c r="S725" s="98">
        <v>0</v>
      </c>
      <c r="T725" s="99">
        <v>0</v>
      </c>
      <c r="U725" s="99">
        <v>0</v>
      </c>
      <c r="V725" s="99">
        <v>0</v>
      </c>
      <c r="W725" s="99">
        <v>1</v>
      </c>
    </row>
    <row r="726" spans="1:23" x14ac:dyDescent="0.3">
      <c r="A726" s="4">
        <v>1983</v>
      </c>
      <c r="B726">
        <v>-29.12</v>
      </c>
      <c r="C726">
        <v>-25.07</v>
      </c>
      <c r="D726">
        <v>-26.14</v>
      </c>
      <c r="E726">
        <v>-25.84</v>
      </c>
      <c r="J726" s="40" t="s">
        <v>11</v>
      </c>
      <c r="L726" s="32">
        <v>0.30000000000000071</v>
      </c>
      <c r="M726" s="32">
        <v>-1.0700000000000003</v>
      </c>
      <c r="N726" s="32">
        <v>4.0500000000000007</v>
      </c>
      <c r="O726" s="32">
        <v>1.1049999999999969</v>
      </c>
      <c r="P726" s="128">
        <f t="shared" si="66"/>
        <v>2.9800000000000004</v>
      </c>
      <c r="Q726" s="128">
        <f t="shared" si="67"/>
        <v>-1.0700000000000003</v>
      </c>
      <c r="R726" s="128">
        <f t="shared" si="68"/>
        <v>0.95499999999999829</v>
      </c>
      <c r="S726" s="98">
        <v>0</v>
      </c>
      <c r="T726" s="99">
        <v>0</v>
      </c>
      <c r="U726" s="99">
        <v>0</v>
      </c>
      <c r="V726" s="99">
        <v>0</v>
      </c>
      <c r="W726" s="99">
        <v>1</v>
      </c>
    </row>
    <row r="727" spans="1:23" x14ac:dyDescent="0.3">
      <c r="A727" s="4">
        <v>1984</v>
      </c>
      <c r="B727">
        <v>-33.6</v>
      </c>
      <c r="C727">
        <v>-31.7</v>
      </c>
      <c r="D727">
        <v>-31.6</v>
      </c>
      <c r="E727">
        <v>-31.6</v>
      </c>
      <c r="H727">
        <v>-33.4</v>
      </c>
      <c r="J727" s="40" t="s">
        <v>18</v>
      </c>
      <c r="L727" s="32">
        <v>0</v>
      </c>
      <c r="M727" s="32">
        <v>9.9999999999997868E-2</v>
      </c>
      <c r="N727" s="32">
        <v>1.9000000000000021</v>
      </c>
      <c r="O727" s="32">
        <v>1.0499999999999972</v>
      </c>
      <c r="P727" s="128">
        <f t="shared" si="66"/>
        <v>2</v>
      </c>
      <c r="Q727" s="128">
        <f t="shared" si="67"/>
        <v>9.9999999999997868E-2</v>
      </c>
      <c r="R727" s="128">
        <f t="shared" si="68"/>
        <v>1.0499999999999972</v>
      </c>
      <c r="S727" s="98">
        <v>0</v>
      </c>
      <c r="T727" s="99">
        <v>0</v>
      </c>
      <c r="U727" s="99">
        <v>0</v>
      </c>
      <c r="V727" s="99">
        <v>0</v>
      </c>
      <c r="W727" s="99">
        <v>1</v>
      </c>
    </row>
    <row r="728" spans="1:23" x14ac:dyDescent="0.3">
      <c r="A728" s="4">
        <v>1985</v>
      </c>
      <c r="B728">
        <v>-30.9</v>
      </c>
      <c r="C728">
        <v>-30.3</v>
      </c>
      <c r="D728">
        <v>-29.1</v>
      </c>
      <c r="E728">
        <v>-27.6</v>
      </c>
      <c r="H728">
        <v>-29.7</v>
      </c>
      <c r="J728" s="40" t="s">
        <v>18</v>
      </c>
      <c r="L728" s="32">
        <v>1.5</v>
      </c>
      <c r="M728" s="32">
        <v>1.1999999999999993</v>
      </c>
      <c r="N728" s="32">
        <v>0.59999999999999787</v>
      </c>
      <c r="O728" s="32">
        <v>2.25</v>
      </c>
      <c r="P728" s="128">
        <f t="shared" si="66"/>
        <v>1.7999999999999972</v>
      </c>
      <c r="Q728" s="128">
        <f t="shared" si="67"/>
        <v>1.1999999999999993</v>
      </c>
      <c r="R728" s="128">
        <f t="shared" si="68"/>
        <v>1.5</v>
      </c>
      <c r="S728" s="98">
        <v>0</v>
      </c>
      <c r="T728" s="99">
        <v>0</v>
      </c>
      <c r="U728" s="99">
        <v>0</v>
      </c>
      <c r="V728" s="99">
        <v>0</v>
      </c>
      <c r="W728" s="99">
        <v>1</v>
      </c>
    </row>
    <row r="729" spans="1:23" x14ac:dyDescent="0.3">
      <c r="A729" s="4">
        <v>1986</v>
      </c>
      <c r="B729">
        <v>-34.700000000000003</v>
      </c>
      <c r="C729">
        <v>-32.6</v>
      </c>
      <c r="D729" t="str">
        <f>IF(AND(ISBLANK(F729),ISBLANK(G729)),"",IF(ISBLANK(F729),G729,IF(ISBLANK(G729),F729,(G729+F729)/2)))</f>
        <v/>
      </c>
      <c r="H729">
        <v>-34.5</v>
      </c>
      <c r="J729" s="40" t="s">
        <v>18</v>
      </c>
      <c r="L729" s="32" t="e">
        <v>#VALUE!</v>
      </c>
      <c r="M729" s="32" t="e">
        <v>#VALUE!</v>
      </c>
      <c r="N729" s="32">
        <v>2.1000000000000014</v>
      </c>
      <c r="O729" s="32" t="e">
        <v>#DIV/0!</v>
      </c>
      <c r="P729" s="128" t="str">
        <f t="shared" si="66"/>
        <v/>
      </c>
      <c r="Q729" s="128" t="str">
        <f t="shared" si="67"/>
        <v/>
      </c>
      <c r="R729" s="128" t="str">
        <f t="shared" si="68"/>
        <v/>
      </c>
      <c r="T729" s="99">
        <v>0</v>
      </c>
      <c r="U729" s="99">
        <v>0</v>
      </c>
      <c r="V729" s="99">
        <v>0</v>
      </c>
    </row>
    <row r="730" spans="1:23" x14ac:dyDescent="0.3">
      <c r="A730" s="4">
        <v>1987</v>
      </c>
      <c r="B730">
        <v>-30.16</v>
      </c>
      <c r="C730">
        <v>-29.68</v>
      </c>
      <c r="D730">
        <v>-28.66</v>
      </c>
      <c r="E730">
        <v>-29.44</v>
      </c>
      <c r="H730">
        <v>-30.17</v>
      </c>
      <c r="J730" s="40" t="s">
        <v>18</v>
      </c>
      <c r="L730" s="32">
        <v>-0.78000000000000114</v>
      </c>
      <c r="M730" s="32">
        <v>1.0199999999999996</v>
      </c>
      <c r="N730" s="32">
        <v>0.48000000000000043</v>
      </c>
      <c r="O730" s="32">
        <v>0.87000000000000099</v>
      </c>
      <c r="P730" s="128">
        <f t="shared" si="66"/>
        <v>0.71999999999999886</v>
      </c>
      <c r="Q730" s="128">
        <f t="shared" si="67"/>
        <v>0.23999999999999844</v>
      </c>
      <c r="R730" s="128">
        <f t="shared" si="68"/>
        <v>0.48000000000000043</v>
      </c>
      <c r="S730" s="98">
        <v>0</v>
      </c>
      <c r="T730" s="99">
        <v>0</v>
      </c>
      <c r="U730" s="99">
        <v>0</v>
      </c>
      <c r="V730" s="99">
        <v>0</v>
      </c>
      <c r="W730" s="99">
        <v>0</v>
      </c>
    </row>
    <row r="731" spans="1:23" x14ac:dyDescent="0.3">
      <c r="A731" s="4">
        <v>1988</v>
      </c>
      <c r="B731">
        <v>-28.63</v>
      </c>
      <c r="C731">
        <v>-27.95</v>
      </c>
      <c r="D731">
        <v>-27.78</v>
      </c>
      <c r="E731">
        <v>-26.84</v>
      </c>
      <c r="H731">
        <v>-28.25</v>
      </c>
      <c r="J731" s="40" t="s">
        <v>11</v>
      </c>
      <c r="L731" s="32">
        <v>0.94000000000000128</v>
      </c>
      <c r="M731" s="32">
        <v>0.16999999999999815</v>
      </c>
      <c r="N731" s="32">
        <v>0.67999999999999972</v>
      </c>
      <c r="O731" s="32">
        <v>0.97999999999999687</v>
      </c>
      <c r="P731" s="128">
        <f t="shared" si="66"/>
        <v>0.84999999999999787</v>
      </c>
      <c r="Q731" s="128">
        <f t="shared" si="67"/>
        <v>0.16999999999999815</v>
      </c>
      <c r="R731" s="128">
        <f t="shared" si="68"/>
        <v>0.50999999999999801</v>
      </c>
      <c r="S731" s="98">
        <v>0</v>
      </c>
      <c r="T731" s="99">
        <v>0</v>
      </c>
      <c r="U731" s="99">
        <v>0</v>
      </c>
      <c r="V731" s="99">
        <v>0</v>
      </c>
      <c r="W731" s="99">
        <v>0</v>
      </c>
    </row>
    <row r="732" spans="1:23" x14ac:dyDescent="0.3">
      <c r="A732" s="4">
        <v>1989</v>
      </c>
      <c r="B732">
        <v>-28.54</v>
      </c>
      <c r="C732">
        <v>-27.91</v>
      </c>
      <c r="D732">
        <v>-27.62</v>
      </c>
      <c r="E732">
        <v>-28.34</v>
      </c>
      <c r="H732">
        <v>-28.23</v>
      </c>
      <c r="J732" s="40" t="s">
        <v>11</v>
      </c>
      <c r="L732" s="32">
        <v>-0.71999999999999886</v>
      </c>
      <c r="M732" s="32">
        <v>0.28999999999999915</v>
      </c>
      <c r="N732" s="32">
        <v>0.62999999999999901</v>
      </c>
      <c r="O732" s="32">
        <v>0.24500000000000099</v>
      </c>
      <c r="P732" s="128">
        <f t="shared" si="66"/>
        <v>0.19999999999999929</v>
      </c>
      <c r="Q732" s="128">
        <f t="shared" si="67"/>
        <v>-0.42999999999999972</v>
      </c>
      <c r="R732" s="128">
        <f t="shared" si="68"/>
        <v>-0.11499999999999844</v>
      </c>
      <c r="S732" s="98">
        <v>0</v>
      </c>
      <c r="T732" s="99">
        <v>0</v>
      </c>
      <c r="U732" s="99">
        <v>0</v>
      </c>
      <c r="V732" s="99">
        <v>0</v>
      </c>
      <c r="W732" s="99">
        <v>0</v>
      </c>
    </row>
    <row r="733" spans="1:23" x14ac:dyDescent="0.3">
      <c r="A733" s="4">
        <v>1990</v>
      </c>
      <c r="B733">
        <v>-28.56</v>
      </c>
      <c r="C733">
        <v>-28.27</v>
      </c>
      <c r="D733">
        <v>-26.58</v>
      </c>
      <c r="E733">
        <v>-27.8</v>
      </c>
      <c r="H733">
        <v>-27.99</v>
      </c>
      <c r="J733" s="40" t="s">
        <v>11</v>
      </c>
      <c r="L733" s="32">
        <v>-1.2200000000000024</v>
      </c>
      <c r="M733" s="32">
        <v>1.6900000000000013</v>
      </c>
      <c r="N733" s="32">
        <v>0.28999999999999915</v>
      </c>
      <c r="O733" s="32">
        <v>1.2250000000000014</v>
      </c>
      <c r="P733" s="128">
        <f t="shared" si="66"/>
        <v>0.75999999999999801</v>
      </c>
      <c r="Q733" s="128">
        <f t="shared" si="67"/>
        <v>0.46999999999999886</v>
      </c>
      <c r="R733" s="128">
        <f t="shared" si="68"/>
        <v>0.61499999999999844</v>
      </c>
      <c r="S733" s="98">
        <v>0</v>
      </c>
      <c r="T733" s="99">
        <v>0</v>
      </c>
      <c r="U733" s="99">
        <v>0</v>
      </c>
      <c r="V733" s="99">
        <v>0</v>
      </c>
      <c r="W733" s="99">
        <v>0</v>
      </c>
    </row>
    <row r="734" spans="1:23" x14ac:dyDescent="0.3">
      <c r="A734" s="4">
        <v>1991</v>
      </c>
      <c r="B734">
        <v>-28.37</v>
      </c>
      <c r="C734">
        <v>-27.8</v>
      </c>
      <c r="D734">
        <v>-27.52</v>
      </c>
      <c r="E734">
        <v>-28.08</v>
      </c>
      <c r="H734">
        <v>-27.99</v>
      </c>
      <c r="J734" s="40" t="s">
        <v>11</v>
      </c>
      <c r="L734" s="32">
        <v>-0.55999999999999872</v>
      </c>
      <c r="M734" s="32">
        <v>0.28000000000000114</v>
      </c>
      <c r="N734" s="32">
        <v>0.57000000000000028</v>
      </c>
      <c r="O734" s="32">
        <v>0.28500000000000369</v>
      </c>
      <c r="P734" s="128">
        <f t="shared" si="66"/>
        <v>0.2900000000000027</v>
      </c>
      <c r="Q734" s="128">
        <f t="shared" si="67"/>
        <v>-0.27999999999999758</v>
      </c>
      <c r="R734" s="128">
        <f t="shared" si="68"/>
        <v>5.000000000002558E-3</v>
      </c>
      <c r="S734" s="98">
        <v>0</v>
      </c>
      <c r="T734" s="99">
        <v>0</v>
      </c>
      <c r="U734" s="99">
        <v>0</v>
      </c>
      <c r="V734" s="99">
        <v>0</v>
      </c>
      <c r="W734" s="99">
        <v>0</v>
      </c>
    </row>
    <row r="735" spans="1:23" x14ac:dyDescent="0.3">
      <c r="A735" s="4">
        <v>1992</v>
      </c>
      <c r="B735">
        <v>-27.45</v>
      </c>
      <c r="C735">
        <v>-27.09</v>
      </c>
      <c r="D735">
        <v>-26.31</v>
      </c>
      <c r="E735">
        <v>-27.15</v>
      </c>
      <c r="H735">
        <v>-27.6</v>
      </c>
      <c r="J735" s="40" t="s">
        <v>11</v>
      </c>
      <c r="L735" s="32">
        <v>-0.83999999999999986</v>
      </c>
      <c r="M735" s="32">
        <v>0.78000000000000114</v>
      </c>
      <c r="N735" s="32">
        <v>0.35999999999999943</v>
      </c>
      <c r="O735" s="32">
        <v>0.5400000000000027</v>
      </c>
      <c r="P735" s="128">
        <f t="shared" si="66"/>
        <v>0.30000000000000071</v>
      </c>
      <c r="Q735" s="128">
        <f t="shared" si="67"/>
        <v>-5.9999999999998721E-2</v>
      </c>
      <c r="R735" s="128">
        <f t="shared" si="68"/>
        <v>0.12000000000000099</v>
      </c>
      <c r="S735" s="98">
        <v>0</v>
      </c>
      <c r="T735" s="99">
        <v>0</v>
      </c>
      <c r="U735" s="99">
        <v>0</v>
      </c>
      <c r="V735" s="99">
        <v>0</v>
      </c>
      <c r="W735" s="99">
        <v>0</v>
      </c>
    </row>
    <row r="736" spans="1:23" x14ac:dyDescent="0.3">
      <c r="A736" s="4">
        <v>1993</v>
      </c>
      <c r="B736">
        <v>-28.33</v>
      </c>
      <c r="C736">
        <v>-27.65</v>
      </c>
      <c r="D736">
        <v>-27.53</v>
      </c>
      <c r="E736">
        <v>-28.1</v>
      </c>
      <c r="H736">
        <v>-27.85</v>
      </c>
      <c r="J736" s="40" t="s">
        <v>11</v>
      </c>
      <c r="L736" s="32">
        <v>-0.57000000000000028</v>
      </c>
      <c r="M736" s="32">
        <v>0.11999999999999744</v>
      </c>
      <c r="N736" s="32">
        <v>0.67999999999999972</v>
      </c>
      <c r="O736" s="32">
        <v>0.17499999999999716</v>
      </c>
      <c r="P736" s="128">
        <f t="shared" si="66"/>
        <v>0.22999999999999687</v>
      </c>
      <c r="Q736" s="128">
        <f t="shared" si="67"/>
        <v>-0.45000000000000284</v>
      </c>
      <c r="R736" s="128">
        <f t="shared" si="68"/>
        <v>-0.11000000000000298</v>
      </c>
      <c r="S736" s="98">
        <v>0</v>
      </c>
      <c r="T736" s="99">
        <v>0</v>
      </c>
      <c r="U736" s="99">
        <v>0</v>
      </c>
      <c r="V736" s="99">
        <v>0</v>
      </c>
      <c r="W736" s="99">
        <v>0</v>
      </c>
    </row>
    <row r="737" spans="1:23" x14ac:dyDescent="0.3">
      <c r="A737" s="4">
        <v>1994</v>
      </c>
      <c r="B737">
        <v>-28.28</v>
      </c>
      <c r="C737">
        <v>-27.76</v>
      </c>
      <c r="D737">
        <v>-27.53</v>
      </c>
      <c r="E737">
        <v>-28.41</v>
      </c>
      <c r="H737">
        <v>-27.83</v>
      </c>
      <c r="J737" s="40" t="s">
        <v>11</v>
      </c>
      <c r="L737" s="32">
        <v>-0.87999999999999901</v>
      </c>
      <c r="M737" s="32">
        <v>0.23000000000000043</v>
      </c>
      <c r="N737" s="32">
        <v>0.51999999999999957</v>
      </c>
      <c r="O737" s="32">
        <v>5.0000000000004263E-2</v>
      </c>
      <c r="P737" s="128">
        <f t="shared" si="66"/>
        <v>-0.12999999999999901</v>
      </c>
      <c r="Q737" s="128">
        <f t="shared" si="67"/>
        <v>-0.64999999999999858</v>
      </c>
      <c r="R737" s="128">
        <f t="shared" si="68"/>
        <v>-0.38999999999999702</v>
      </c>
      <c r="S737" s="98">
        <v>0</v>
      </c>
      <c r="T737" s="99">
        <v>0</v>
      </c>
      <c r="U737" s="99">
        <v>0</v>
      </c>
      <c r="V737" s="99">
        <v>0</v>
      </c>
      <c r="W737" s="99">
        <v>0</v>
      </c>
    </row>
    <row r="738" spans="1:23" x14ac:dyDescent="0.3">
      <c r="A738" s="4">
        <v>1995</v>
      </c>
      <c r="B738">
        <v>-28.3</v>
      </c>
      <c r="C738">
        <v>-27.61</v>
      </c>
      <c r="D738">
        <v>-27.99</v>
      </c>
      <c r="E738">
        <v>-28.01</v>
      </c>
      <c r="H738">
        <v>-27.41</v>
      </c>
      <c r="J738" s="40" t="s">
        <v>11</v>
      </c>
      <c r="L738" s="32">
        <v>-2.0000000000003126E-2</v>
      </c>
      <c r="M738" s="32">
        <v>-0.37999999999999901</v>
      </c>
      <c r="N738" s="32">
        <v>0.69000000000000128</v>
      </c>
      <c r="O738" s="32">
        <v>-4.5000000000001705E-2</v>
      </c>
      <c r="P738" s="128">
        <f t="shared" si="66"/>
        <v>0.28999999999999915</v>
      </c>
      <c r="Q738" s="128">
        <f t="shared" si="67"/>
        <v>-0.40000000000000213</v>
      </c>
      <c r="R738" s="128">
        <f t="shared" si="68"/>
        <v>-5.5000000000003268E-2</v>
      </c>
      <c r="S738" s="98">
        <v>0</v>
      </c>
      <c r="T738" s="99">
        <v>0</v>
      </c>
      <c r="U738" s="99">
        <v>0</v>
      </c>
      <c r="V738" s="99">
        <v>0</v>
      </c>
      <c r="W738" s="99">
        <v>0</v>
      </c>
    </row>
    <row r="739" spans="1:23" x14ac:dyDescent="0.3">
      <c r="A739" s="4">
        <v>1996</v>
      </c>
      <c r="B739">
        <v>-27.44</v>
      </c>
      <c r="C739">
        <v>-27.58</v>
      </c>
      <c r="D739">
        <v>-27.5</v>
      </c>
      <c r="E739">
        <v>-27.66</v>
      </c>
      <c r="H739">
        <v>-28.41</v>
      </c>
      <c r="J739" s="40" t="s">
        <v>11</v>
      </c>
      <c r="L739" s="32">
        <v>-0.16000000000000014</v>
      </c>
      <c r="M739" s="32">
        <v>7.9999999999998295E-2</v>
      </c>
      <c r="N739" s="32">
        <v>-0.13999999999999702</v>
      </c>
      <c r="O739" s="32">
        <v>-7.0000000000000284E-2</v>
      </c>
      <c r="P739" s="128">
        <f t="shared" si="66"/>
        <v>-8.0000000000001847E-2</v>
      </c>
      <c r="Q739" s="128">
        <f t="shared" si="67"/>
        <v>-0.21999999999999886</v>
      </c>
      <c r="R739" s="128">
        <f t="shared" si="68"/>
        <v>-0.15000000000000213</v>
      </c>
      <c r="S739" s="98">
        <v>0</v>
      </c>
      <c r="T739" s="99">
        <v>1</v>
      </c>
      <c r="U739" s="99">
        <v>1</v>
      </c>
      <c r="V739" s="99">
        <v>1</v>
      </c>
      <c r="W739" s="99">
        <v>0</v>
      </c>
    </row>
    <row r="740" spans="1:23" x14ac:dyDescent="0.3">
      <c r="A740" s="4">
        <v>1997</v>
      </c>
      <c r="B740">
        <v>-28.1</v>
      </c>
      <c r="C740">
        <v>-27.5</v>
      </c>
      <c r="D740">
        <v>-27.71</v>
      </c>
      <c r="E740">
        <v>-28.24</v>
      </c>
      <c r="H740">
        <v>-27.8</v>
      </c>
      <c r="J740" s="40" t="s">
        <v>11</v>
      </c>
      <c r="L740" s="32">
        <v>-0.52999999999999758</v>
      </c>
      <c r="M740" s="32">
        <v>-0.21000000000000085</v>
      </c>
      <c r="N740" s="32">
        <v>0.60000000000000142</v>
      </c>
      <c r="O740" s="32">
        <v>-0.17500000000000071</v>
      </c>
      <c r="P740" s="128">
        <f t="shared" si="66"/>
        <v>-0.13999999999999702</v>
      </c>
      <c r="Q740" s="128">
        <f t="shared" si="67"/>
        <v>-0.73999999999999844</v>
      </c>
      <c r="R740" s="128">
        <f t="shared" si="68"/>
        <v>-0.43999999999999773</v>
      </c>
      <c r="S740" s="98">
        <v>0</v>
      </c>
      <c r="T740" s="99">
        <v>0</v>
      </c>
      <c r="U740" s="99">
        <v>0</v>
      </c>
      <c r="V740" s="99">
        <v>0</v>
      </c>
      <c r="W740" s="99">
        <v>0</v>
      </c>
    </row>
    <row r="741" spans="1:23" x14ac:dyDescent="0.3">
      <c r="A741" s="4">
        <v>1998</v>
      </c>
      <c r="B741">
        <v>-28.46</v>
      </c>
      <c r="C741">
        <v>-27.65</v>
      </c>
      <c r="D741">
        <v>-27.42</v>
      </c>
      <c r="E741">
        <v>-27.58</v>
      </c>
      <c r="H741">
        <v>-27.89</v>
      </c>
      <c r="J741" s="40" t="s">
        <v>11</v>
      </c>
      <c r="L741" s="32">
        <v>-0.15999999999999659</v>
      </c>
      <c r="M741" s="32">
        <v>0.22999999999999687</v>
      </c>
      <c r="N741" s="32">
        <v>0.81000000000000227</v>
      </c>
      <c r="O741" s="32">
        <v>0.55499999999999972</v>
      </c>
      <c r="P741" s="128">
        <f t="shared" si="66"/>
        <v>0.88000000000000256</v>
      </c>
      <c r="Q741" s="128">
        <f t="shared" si="67"/>
        <v>7.0000000000000284E-2</v>
      </c>
      <c r="R741" s="128">
        <f t="shared" si="68"/>
        <v>0.47500000000000142</v>
      </c>
      <c r="S741" s="98">
        <v>0</v>
      </c>
      <c r="T741" s="99">
        <v>0</v>
      </c>
      <c r="U741" s="99">
        <v>0</v>
      </c>
      <c r="V741" s="99">
        <v>0</v>
      </c>
      <c r="W741" s="99">
        <v>0</v>
      </c>
    </row>
    <row r="742" spans="1:23" x14ac:dyDescent="0.3">
      <c r="A742" s="4">
        <v>1999</v>
      </c>
      <c r="B742">
        <v>-28.18</v>
      </c>
      <c r="C742">
        <v>-27.43</v>
      </c>
      <c r="D742">
        <v>-27.63</v>
      </c>
      <c r="E742">
        <v>-27.41</v>
      </c>
      <c r="H742">
        <v>-27.44</v>
      </c>
      <c r="J742" s="40" t="s">
        <v>11</v>
      </c>
      <c r="L742" s="32">
        <v>0.21999999999999886</v>
      </c>
      <c r="M742" s="32">
        <v>-0.19999999999999929</v>
      </c>
      <c r="N742" s="32">
        <v>0.75</v>
      </c>
      <c r="O742" s="32">
        <v>0.28500000000000014</v>
      </c>
      <c r="P742" s="128">
        <f t="shared" si="66"/>
        <v>0.55000000000000071</v>
      </c>
      <c r="Q742" s="128">
        <f t="shared" si="67"/>
        <v>-0.19999999999999929</v>
      </c>
      <c r="R742" s="128">
        <f t="shared" si="68"/>
        <v>0.17500000000000071</v>
      </c>
      <c r="S742" s="98">
        <v>0</v>
      </c>
      <c r="T742" s="99">
        <v>0</v>
      </c>
      <c r="U742" s="99">
        <v>0</v>
      </c>
      <c r="V742" s="99">
        <v>0</v>
      </c>
      <c r="W742" s="99">
        <v>0</v>
      </c>
    </row>
    <row r="743" spans="1:23" x14ac:dyDescent="0.3">
      <c r="A743" s="4">
        <v>2000</v>
      </c>
      <c r="B743">
        <v>-27.21</v>
      </c>
      <c r="C743">
        <v>-26.41</v>
      </c>
      <c r="D743">
        <v>-26.01</v>
      </c>
      <c r="E743">
        <v>-27.32</v>
      </c>
      <c r="H743">
        <v>-26.66</v>
      </c>
      <c r="J743" s="40" t="s">
        <v>11</v>
      </c>
      <c r="L743" s="32">
        <v>-1.3099999999999987</v>
      </c>
      <c r="M743" s="32">
        <v>0.39999999999999858</v>
      </c>
      <c r="N743" s="32">
        <v>0.80000000000000071</v>
      </c>
      <c r="O743" s="32">
        <v>0.14500000000000313</v>
      </c>
      <c r="P743" s="128">
        <f t="shared" si="66"/>
        <v>-0.10999999999999943</v>
      </c>
      <c r="Q743" s="128">
        <f t="shared" si="67"/>
        <v>-0.91000000000000014</v>
      </c>
      <c r="R743" s="128">
        <f t="shared" si="68"/>
        <v>-0.50999999999999801</v>
      </c>
      <c r="S743" s="98">
        <v>0</v>
      </c>
      <c r="T743" s="99">
        <v>0</v>
      </c>
      <c r="U743" s="99">
        <v>0</v>
      </c>
      <c r="V743" s="99">
        <v>0</v>
      </c>
      <c r="W743" s="99">
        <v>0</v>
      </c>
    </row>
    <row r="744" spans="1:23" x14ac:dyDescent="0.3">
      <c r="A744" s="4">
        <v>2001</v>
      </c>
      <c r="B744">
        <v>-27.27</v>
      </c>
      <c r="C744">
        <v>-26.75</v>
      </c>
      <c r="D744">
        <v>-27.19</v>
      </c>
      <c r="E744">
        <v>-27.18</v>
      </c>
      <c r="H744">
        <v>-26.65</v>
      </c>
      <c r="J744" s="40" t="s">
        <v>11</v>
      </c>
      <c r="L744" s="32">
        <v>1.0000000000001563E-2</v>
      </c>
      <c r="M744" s="32">
        <v>-0.44000000000000128</v>
      </c>
      <c r="N744" s="32">
        <v>0.51999999999999957</v>
      </c>
      <c r="O744" s="32">
        <v>-0.17500000000000426</v>
      </c>
      <c r="P744" s="128">
        <f t="shared" si="66"/>
        <v>7.9999999999998295E-2</v>
      </c>
      <c r="Q744" s="128">
        <f t="shared" si="67"/>
        <v>-0.44000000000000128</v>
      </c>
      <c r="R744" s="128">
        <f t="shared" si="68"/>
        <v>-0.18000000000000327</v>
      </c>
      <c r="S744" s="98">
        <v>0</v>
      </c>
      <c r="T744" s="99">
        <v>0</v>
      </c>
      <c r="U744" s="99">
        <v>0</v>
      </c>
      <c r="V744" s="99">
        <v>0</v>
      </c>
      <c r="W744" s="99">
        <v>0</v>
      </c>
    </row>
    <row r="745" spans="1:23" x14ac:dyDescent="0.3">
      <c r="A745" s="4">
        <v>2002</v>
      </c>
      <c r="B745">
        <v>-27.35</v>
      </c>
      <c r="C745">
        <v>-26.66</v>
      </c>
      <c r="D745">
        <v>-27.03</v>
      </c>
      <c r="E745">
        <v>-27.58</v>
      </c>
      <c r="H745">
        <v>-26.82</v>
      </c>
      <c r="J745" s="40" t="s">
        <v>11</v>
      </c>
      <c r="L745" s="32">
        <v>-0.54999999999999716</v>
      </c>
      <c r="M745" s="32">
        <v>-0.37000000000000099</v>
      </c>
      <c r="N745" s="32">
        <v>0.69000000000000128</v>
      </c>
      <c r="O745" s="32">
        <v>-0.29999999999999716</v>
      </c>
      <c r="P745" s="128">
        <f t="shared" si="66"/>
        <v>-0.22999999999999687</v>
      </c>
      <c r="Q745" s="128">
        <f t="shared" si="67"/>
        <v>-0.91999999999999815</v>
      </c>
      <c r="R745" s="128">
        <f t="shared" si="68"/>
        <v>-0.57499999999999574</v>
      </c>
      <c r="S745" s="98">
        <v>0</v>
      </c>
      <c r="T745" s="99">
        <v>0</v>
      </c>
      <c r="U745" s="99">
        <v>0</v>
      </c>
      <c r="V745" s="99">
        <v>0</v>
      </c>
      <c r="W745" s="99">
        <v>0</v>
      </c>
    </row>
    <row r="746" spans="1:23" x14ac:dyDescent="0.3">
      <c r="A746" s="4">
        <v>2003</v>
      </c>
      <c r="B746">
        <v>-28.13</v>
      </c>
      <c r="C746">
        <v>-27.65</v>
      </c>
      <c r="D746">
        <v>-27.06</v>
      </c>
      <c r="E746">
        <v>-27.93</v>
      </c>
      <c r="H746">
        <v>-27.46</v>
      </c>
      <c r="J746" s="40" t="s">
        <v>11</v>
      </c>
      <c r="L746" s="32">
        <v>-0.87000000000000099</v>
      </c>
      <c r="M746" s="32">
        <v>0.58999999999999986</v>
      </c>
      <c r="N746" s="32">
        <v>0.48000000000000043</v>
      </c>
      <c r="O746" s="32">
        <v>0.39500000000000313</v>
      </c>
      <c r="P746" s="128">
        <f t="shared" si="66"/>
        <v>0.19999999999999929</v>
      </c>
      <c r="Q746" s="128">
        <f t="shared" si="67"/>
        <v>-0.28000000000000114</v>
      </c>
      <c r="R746" s="128">
        <f t="shared" si="68"/>
        <v>-3.9999999999999147E-2</v>
      </c>
      <c r="S746" s="98">
        <v>0</v>
      </c>
      <c r="T746" s="99">
        <v>0</v>
      </c>
      <c r="U746" s="99">
        <v>0</v>
      </c>
      <c r="V746" s="99">
        <v>0</v>
      </c>
      <c r="W746" s="99">
        <v>0</v>
      </c>
    </row>
    <row r="747" spans="1:23" x14ac:dyDescent="0.3">
      <c r="A747" s="4">
        <v>2004</v>
      </c>
      <c r="B747">
        <v>-27.31</v>
      </c>
      <c r="C747">
        <v>-26.4</v>
      </c>
      <c r="D747">
        <v>-26.53</v>
      </c>
      <c r="E747">
        <v>-27.14</v>
      </c>
      <c r="H747">
        <v>-26.74</v>
      </c>
      <c r="J747" s="40" t="s">
        <v>11</v>
      </c>
      <c r="L747" s="32">
        <v>-0.60999999999999943</v>
      </c>
      <c r="M747" s="32">
        <v>-0.13000000000000256</v>
      </c>
      <c r="N747" s="32">
        <v>0.91000000000000014</v>
      </c>
      <c r="O747" s="32">
        <v>1.9999999999996021E-2</v>
      </c>
      <c r="P747" s="128">
        <f t="shared" si="66"/>
        <v>0.16999999999999815</v>
      </c>
      <c r="Q747" s="128">
        <f t="shared" si="67"/>
        <v>-0.74000000000000199</v>
      </c>
      <c r="R747" s="128">
        <f t="shared" si="68"/>
        <v>-0.28500000000000369</v>
      </c>
      <c r="S747" s="98">
        <v>0</v>
      </c>
      <c r="T747" s="99">
        <v>0</v>
      </c>
      <c r="U747" s="99">
        <v>0</v>
      </c>
      <c r="V747" s="99">
        <v>0</v>
      </c>
      <c r="W747" s="99">
        <v>0</v>
      </c>
    </row>
    <row r="748" spans="1:23" x14ac:dyDescent="0.3">
      <c r="A748" s="4">
        <v>2005</v>
      </c>
      <c r="B748">
        <v>-27.11</v>
      </c>
      <c r="C748">
        <v>-26.48</v>
      </c>
      <c r="D748">
        <v>-26.83</v>
      </c>
      <c r="E748">
        <v>-27.13</v>
      </c>
      <c r="H748">
        <v>-26.68</v>
      </c>
      <c r="J748" s="40" t="s">
        <v>11</v>
      </c>
      <c r="L748" s="32">
        <v>-0.30000000000000071</v>
      </c>
      <c r="M748" s="32">
        <v>-0.34999999999999787</v>
      </c>
      <c r="N748" s="32">
        <v>0.62999999999999901</v>
      </c>
      <c r="O748" s="32">
        <v>-0.18499999999999517</v>
      </c>
      <c r="P748" s="128">
        <f t="shared" si="66"/>
        <v>-1.9999999999999574E-2</v>
      </c>
      <c r="Q748" s="128">
        <f t="shared" si="67"/>
        <v>-0.64999999999999858</v>
      </c>
      <c r="R748" s="128">
        <f t="shared" si="68"/>
        <v>-0.3349999999999973</v>
      </c>
      <c r="S748" s="98">
        <v>0</v>
      </c>
      <c r="T748" s="99">
        <v>0</v>
      </c>
      <c r="U748" s="99">
        <v>0</v>
      </c>
      <c r="V748" s="99">
        <v>0</v>
      </c>
      <c r="W748" s="99">
        <v>0</v>
      </c>
    </row>
    <row r="749" spans="1:23" x14ac:dyDescent="0.3">
      <c r="A749" s="4">
        <v>2006</v>
      </c>
      <c r="B749">
        <v>-27.18</v>
      </c>
      <c r="C749">
        <v>-26.36</v>
      </c>
      <c r="D749">
        <v>-26.07</v>
      </c>
      <c r="E749">
        <v>-28.86</v>
      </c>
      <c r="H749">
        <v>-26.74</v>
      </c>
      <c r="J749" s="40" t="s">
        <v>11</v>
      </c>
      <c r="L749" s="32">
        <v>-2.7899999999999991</v>
      </c>
      <c r="M749" s="32">
        <v>0.28999999999999915</v>
      </c>
      <c r="N749" s="32">
        <v>0.82000000000000028</v>
      </c>
      <c r="O749" s="32">
        <v>-0.69500000000000028</v>
      </c>
      <c r="P749" s="128">
        <f t="shared" si="66"/>
        <v>-1.6799999999999997</v>
      </c>
      <c r="Q749" s="128">
        <f t="shared" si="67"/>
        <v>-2.5</v>
      </c>
      <c r="R749" s="128">
        <f t="shared" si="68"/>
        <v>-2.09</v>
      </c>
      <c r="S749" s="98">
        <v>0</v>
      </c>
      <c r="T749" s="99">
        <v>0</v>
      </c>
      <c r="U749" s="99">
        <v>0</v>
      </c>
      <c r="V749" s="99">
        <v>0</v>
      </c>
      <c r="W749" s="99">
        <v>0</v>
      </c>
    </row>
    <row r="750" spans="1:23" x14ac:dyDescent="0.3">
      <c r="A750" s="4">
        <v>2007</v>
      </c>
      <c r="B750">
        <v>-29.19</v>
      </c>
      <c r="C750">
        <v>-28.27</v>
      </c>
      <c r="D750">
        <v>-28.46</v>
      </c>
      <c r="E750">
        <v>-28.33</v>
      </c>
      <c r="H750">
        <v>-28.9</v>
      </c>
      <c r="J750" s="40" t="s">
        <v>18</v>
      </c>
      <c r="L750" s="32">
        <v>0.13000000000000256</v>
      </c>
      <c r="M750" s="32">
        <v>-0.19000000000000128</v>
      </c>
      <c r="N750" s="32">
        <v>0.92000000000000171</v>
      </c>
      <c r="O750" s="32">
        <v>0.33500000000000085</v>
      </c>
      <c r="P750" s="128">
        <f t="shared" si="66"/>
        <v>0.73000000000000043</v>
      </c>
      <c r="Q750" s="128">
        <f t="shared" si="67"/>
        <v>-0.19000000000000128</v>
      </c>
      <c r="R750" s="128">
        <f t="shared" si="68"/>
        <v>0.26999999999999957</v>
      </c>
      <c r="S750" s="98">
        <v>0</v>
      </c>
      <c r="T750" s="99">
        <v>0</v>
      </c>
      <c r="U750" s="99">
        <v>0</v>
      </c>
      <c r="V750" s="99">
        <v>0</v>
      </c>
      <c r="W750" s="99">
        <v>0</v>
      </c>
    </row>
    <row r="751" spans="1:23" x14ac:dyDescent="0.3">
      <c r="A751" s="4">
        <v>2008</v>
      </c>
      <c r="B751">
        <v>-28.54</v>
      </c>
      <c r="C751">
        <v>-28.12</v>
      </c>
      <c r="D751">
        <v>-27.39</v>
      </c>
      <c r="E751">
        <v>-27.72</v>
      </c>
      <c r="H751">
        <v>-27.58</v>
      </c>
      <c r="J751" s="40" t="s">
        <v>11</v>
      </c>
      <c r="L751" s="32">
        <v>-0.32999999999999829</v>
      </c>
      <c r="M751" s="32">
        <v>0.73000000000000043</v>
      </c>
      <c r="N751" s="32">
        <v>0.41999999999999815</v>
      </c>
      <c r="O751" s="32">
        <v>0.77499999999999858</v>
      </c>
      <c r="P751" s="128">
        <f t="shared" si="66"/>
        <v>0.82000000000000028</v>
      </c>
      <c r="Q751" s="128">
        <f t="shared" si="67"/>
        <v>0.40000000000000213</v>
      </c>
      <c r="R751" s="128">
        <f t="shared" si="68"/>
        <v>0.60999999999999943</v>
      </c>
      <c r="S751" s="98">
        <v>0</v>
      </c>
      <c r="T751" s="99">
        <v>0</v>
      </c>
      <c r="U751" s="99">
        <v>0</v>
      </c>
      <c r="V751" s="99">
        <v>0</v>
      </c>
      <c r="W751" s="99">
        <v>0</v>
      </c>
    </row>
    <row r="752" spans="1:23" x14ac:dyDescent="0.3">
      <c r="A752" s="4">
        <v>2009</v>
      </c>
      <c r="B752">
        <v>-27.64</v>
      </c>
      <c r="C752">
        <v>-26.41</v>
      </c>
      <c r="D752">
        <v>-26.65</v>
      </c>
      <c r="E752">
        <v>-26.57</v>
      </c>
      <c r="H752">
        <v>-27.29</v>
      </c>
      <c r="J752" s="40" t="s">
        <v>11</v>
      </c>
      <c r="L752" s="32">
        <v>7.9999999999998295E-2</v>
      </c>
      <c r="M752" s="32">
        <v>-0.23999999999999844</v>
      </c>
      <c r="N752" s="32">
        <v>1.2300000000000004</v>
      </c>
      <c r="O752" s="32">
        <v>0.41499999999999915</v>
      </c>
      <c r="P752" s="128">
        <f t="shared" si="66"/>
        <v>0.99000000000000199</v>
      </c>
      <c r="Q752" s="128">
        <f t="shared" si="67"/>
        <v>-0.23999999999999844</v>
      </c>
      <c r="R752" s="128">
        <f t="shared" si="68"/>
        <v>0.375</v>
      </c>
      <c r="S752" s="98">
        <v>0</v>
      </c>
      <c r="T752" s="99">
        <v>0</v>
      </c>
      <c r="U752" s="99">
        <v>0</v>
      </c>
      <c r="V752" s="99">
        <v>0</v>
      </c>
      <c r="W752" s="99">
        <v>0</v>
      </c>
    </row>
    <row r="753" spans="1:23" x14ac:dyDescent="0.3">
      <c r="A753" s="4">
        <v>2010</v>
      </c>
      <c r="B753">
        <v>-28.56</v>
      </c>
      <c r="C753">
        <v>-27.81</v>
      </c>
      <c r="D753">
        <v>-27.1</v>
      </c>
      <c r="E753">
        <v>-27.5</v>
      </c>
      <c r="H753">
        <v>-27.6</v>
      </c>
      <c r="J753" s="40" t="s">
        <v>11</v>
      </c>
      <c r="L753" s="32">
        <v>-0.39999999999999858</v>
      </c>
      <c r="M753" s="32">
        <v>0.7099999999999973</v>
      </c>
      <c r="N753" s="32">
        <v>0.75</v>
      </c>
      <c r="O753" s="32">
        <v>0.88499999999999801</v>
      </c>
      <c r="P753" s="128">
        <f t="shared" si="66"/>
        <v>1.0599999999999987</v>
      </c>
      <c r="Q753" s="128">
        <f t="shared" si="67"/>
        <v>0.30999999999999872</v>
      </c>
      <c r="R753" s="128">
        <f t="shared" si="68"/>
        <v>0.68499999999999872</v>
      </c>
      <c r="S753" s="98">
        <v>0</v>
      </c>
      <c r="T753" s="99">
        <v>0</v>
      </c>
      <c r="U753" s="99">
        <v>0</v>
      </c>
      <c r="V753" s="99">
        <v>0</v>
      </c>
      <c r="W753" s="99">
        <v>0</v>
      </c>
    </row>
    <row r="754" spans="1:23" x14ac:dyDescent="0.3">
      <c r="A754" s="4">
        <v>2011</v>
      </c>
      <c r="B754">
        <v>-27.91</v>
      </c>
      <c r="C754">
        <v>-27.17</v>
      </c>
      <c r="D754">
        <v>-26.72</v>
      </c>
      <c r="E754">
        <v>-26.22</v>
      </c>
      <c r="H754">
        <v>-27.56</v>
      </c>
      <c r="J754" s="40" t="s">
        <v>11</v>
      </c>
      <c r="L754" s="32">
        <v>0.5</v>
      </c>
      <c r="M754" s="32">
        <v>0.45000000000000284</v>
      </c>
      <c r="N754" s="32">
        <v>0.73999999999999844</v>
      </c>
      <c r="O754" s="32">
        <v>1.0700000000000003</v>
      </c>
      <c r="P754" s="128">
        <f t="shared" si="66"/>
        <v>1.1900000000000013</v>
      </c>
      <c r="Q754" s="128">
        <f t="shared" si="67"/>
        <v>0.45000000000000284</v>
      </c>
      <c r="R754" s="128">
        <f t="shared" si="68"/>
        <v>0.82000000000000028</v>
      </c>
      <c r="S754" s="98">
        <v>0</v>
      </c>
      <c r="T754" s="99">
        <v>0</v>
      </c>
      <c r="U754" s="99">
        <v>0</v>
      </c>
      <c r="V754" s="99">
        <v>0</v>
      </c>
      <c r="W754" s="99">
        <v>0</v>
      </c>
    </row>
    <row r="755" spans="1:23" x14ac:dyDescent="0.3">
      <c r="A755" s="4">
        <v>2012</v>
      </c>
      <c r="B755">
        <v>-28.51</v>
      </c>
      <c r="C755">
        <v>-28.61</v>
      </c>
      <c r="D755">
        <v>-27.92</v>
      </c>
      <c r="E755">
        <v>-28.34</v>
      </c>
      <c r="H755">
        <v>-28.4</v>
      </c>
      <c r="J755" s="40" t="s">
        <v>11</v>
      </c>
      <c r="L755" s="32">
        <v>-0.41999999999999815</v>
      </c>
      <c r="M755" s="32">
        <v>0.68999999999999773</v>
      </c>
      <c r="N755" s="32">
        <v>-9.9999999999997868E-2</v>
      </c>
      <c r="O755" s="32">
        <v>0.42999999999999972</v>
      </c>
      <c r="P755" s="128">
        <f t="shared" si="66"/>
        <v>0.26999999999999957</v>
      </c>
      <c r="Q755" s="128">
        <f t="shared" si="67"/>
        <v>0.17000000000000171</v>
      </c>
      <c r="R755" s="128">
        <f t="shared" si="68"/>
        <v>0.22000000000000242</v>
      </c>
      <c r="S755" s="98">
        <v>0</v>
      </c>
      <c r="T755" s="99">
        <v>1</v>
      </c>
      <c r="U755" s="99">
        <v>1</v>
      </c>
      <c r="V755" s="99">
        <v>1</v>
      </c>
      <c r="W755" s="99">
        <v>0</v>
      </c>
    </row>
    <row r="756" spans="1:23" x14ac:dyDescent="0.3">
      <c r="A756" s="4">
        <v>2013</v>
      </c>
      <c r="B756">
        <v>-28.55</v>
      </c>
      <c r="C756">
        <v>-27.87</v>
      </c>
      <c r="D756">
        <v>-27.36</v>
      </c>
      <c r="E756">
        <v>-27.62</v>
      </c>
      <c r="H756">
        <v>-28.39</v>
      </c>
      <c r="J756" s="40" t="s">
        <v>11</v>
      </c>
      <c r="L756" s="32">
        <v>-0.26000000000000156</v>
      </c>
      <c r="M756" s="32">
        <v>0.51000000000000156</v>
      </c>
      <c r="N756" s="32">
        <v>0.67999999999999972</v>
      </c>
      <c r="O756" s="32">
        <v>0.71999999999999886</v>
      </c>
      <c r="P756" s="128">
        <f t="shared" si="66"/>
        <v>0.92999999999999972</v>
      </c>
      <c r="Q756" s="128">
        <f t="shared" si="67"/>
        <v>0.25</v>
      </c>
      <c r="R756" s="128">
        <f t="shared" si="68"/>
        <v>0.58999999999999986</v>
      </c>
      <c r="S756" s="98">
        <v>0</v>
      </c>
      <c r="T756" s="99">
        <v>0</v>
      </c>
      <c r="U756" s="99">
        <v>0</v>
      </c>
      <c r="V756" s="99">
        <v>0</v>
      </c>
      <c r="W756" s="99">
        <v>0</v>
      </c>
    </row>
    <row r="757" spans="1:23" x14ac:dyDescent="0.3">
      <c r="A757" s="4">
        <v>2014</v>
      </c>
      <c r="B757">
        <v>-28.82</v>
      </c>
      <c r="C757">
        <v>-27.7</v>
      </c>
      <c r="D757">
        <v>-27.24</v>
      </c>
      <c r="E757">
        <v>-27.77</v>
      </c>
      <c r="H757">
        <v>-28.46</v>
      </c>
      <c r="J757" s="40" t="s">
        <v>11</v>
      </c>
      <c r="L757" s="32">
        <v>-0.53000000000000114</v>
      </c>
      <c r="M757" s="32">
        <v>0.46000000000000085</v>
      </c>
      <c r="N757" s="32">
        <v>1.120000000000001</v>
      </c>
      <c r="O757" s="32">
        <v>0.75499999999999901</v>
      </c>
      <c r="P757" s="128">
        <f t="shared" si="66"/>
        <v>1.0500000000000007</v>
      </c>
      <c r="Q757" s="128">
        <f t="shared" si="67"/>
        <v>-7.0000000000000284E-2</v>
      </c>
      <c r="R757" s="128">
        <f t="shared" si="68"/>
        <v>0.48999999999999844</v>
      </c>
      <c r="S757" s="98">
        <v>0</v>
      </c>
      <c r="T757" s="99">
        <v>0</v>
      </c>
      <c r="U757" s="99">
        <v>0</v>
      </c>
      <c r="V757" s="99">
        <v>0</v>
      </c>
      <c r="W757" s="99">
        <v>0</v>
      </c>
    </row>
    <row r="758" spans="1:23" x14ac:dyDescent="0.3">
      <c r="A758" s="4">
        <v>2015</v>
      </c>
      <c r="B758">
        <v>-28.03</v>
      </c>
      <c r="C758">
        <v>-28.65</v>
      </c>
      <c r="D758">
        <v>-26.7</v>
      </c>
      <c r="E758">
        <v>-26.93</v>
      </c>
      <c r="H758">
        <v>-27.55</v>
      </c>
      <c r="J758" s="40" t="s">
        <v>11</v>
      </c>
      <c r="L758" s="32">
        <v>-0.23000000000000043</v>
      </c>
      <c r="M758" s="32">
        <v>1.9499999999999993</v>
      </c>
      <c r="N758" s="32">
        <v>-0.61999999999999744</v>
      </c>
      <c r="O758" s="32">
        <v>1.5250000000000021</v>
      </c>
      <c r="P758" s="128">
        <f t="shared" si="66"/>
        <v>1.7199999999999989</v>
      </c>
      <c r="Q758" s="128">
        <f t="shared" si="67"/>
        <v>1.1000000000000014</v>
      </c>
      <c r="R758" s="128">
        <f t="shared" si="68"/>
        <v>1.4100000000000001</v>
      </c>
      <c r="S758" s="98">
        <v>0</v>
      </c>
      <c r="T758" s="99">
        <v>0</v>
      </c>
      <c r="U758" s="99">
        <v>0</v>
      </c>
      <c r="V758" s="99">
        <v>0</v>
      </c>
      <c r="W758" s="99">
        <v>1</v>
      </c>
    </row>
    <row r="759" spans="1:23" x14ac:dyDescent="0.3">
      <c r="A759" s="4">
        <v>2016</v>
      </c>
      <c r="B759">
        <v>-29.59</v>
      </c>
      <c r="C759">
        <v>-28.3</v>
      </c>
      <c r="D759">
        <v>-27.98</v>
      </c>
      <c r="E759">
        <v>-28.83</v>
      </c>
      <c r="H759">
        <v>-29.41</v>
      </c>
      <c r="J759" s="40" t="s">
        <v>18</v>
      </c>
      <c r="L759" s="32">
        <v>-0.84999999999999787</v>
      </c>
      <c r="M759" s="32">
        <v>0.32000000000000028</v>
      </c>
      <c r="N759" s="32">
        <v>1.2899999999999991</v>
      </c>
      <c r="O759" s="32">
        <v>0.53999999999999915</v>
      </c>
      <c r="P759" s="128">
        <f t="shared" si="66"/>
        <v>0.76000000000000156</v>
      </c>
      <c r="Q759" s="128">
        <f t="shared" si="67"/>
        <v>-0.52999999999999758</v>
      </c>
      <c r="R759" s="128">
        <f t="shared" si="68"/>
        <v>0.11500000000000199</v>
      </c>
      <c r="S759" s="98">
        <v>0</v>
      </c>
      <c r="T759" s="99">
        <v>0</v>
      </c>
      <c r="U759" s="99">
        <v>0</v>
      </c>
      <c r="V759" s="99">
        <v>0</v>
      </c>
      <c r="W759" s="99">
        <v>0</v>
      </c>
    </row>
    <row r="760" spans="1:23" x14ac:dyDescent="0.3">
      <c r="A760" s="4">
        <v>2017</v>
      </c>
      <c r="B760">
        <v>-28.18</v>
      </c>
      <c r="C760">
        <v>-27.9</v>
      </c>
      <c r="D760">
        <v>-27.91</v>
      </c>
      <c r="E760">
        <v>-27.88</v>
      </c>
      <c r="H760">
        <v>-28.22</v>
      </c>
      <c r="J760" s="40" t="s">
        <v>11</v>
      </c>
      <c r="L760" s="32">
        <v>3.0000000000001137E-2</v>
      </c>
      <c r="M760" s="32">
        <v>-1.0000000000001563E-2</v>
      </c>
      <c r="N760" s="32">
        <v>0.28000000000000114</v>
      </c>
      <c r="O760" s="32">
        <v>0.14499999999999957</v>
      </c>
      <c r="P760" s="128">
        <f t="shared" si="66"/>
        <v>0.26999999999999957</v>
      </c>
      <c r="Q760" s="128">
        <f t="shared" si="67"/>
        <v>-1.0000000000001563E-2</v>
      </c>
      <c r="R760" s="128">
        <f t="shared" si="68"/>
        <v>0.12999999999999901</v>
      </c>
      <c r="S760" s="98">
        <v>0</v>
      </c>
      <c r="T760" s="99">
        <v>0</v>
      </c>
      <c r="U760" s="99">
        <v>0</v>
      </c>
      <c r="V760" s="99">
        <v>0</v>
      </c>
      <c r="W760" s="99">
        <v>0</v>
      </c>
    </row>
    <row r="761" spans="1:23" x14ac:dyDescent="0.3">
      <c r="A761" s="4">
        <v>2018</v>
      </c>
      <c r="B761">
        <v>-26.5</v>
      </c>
      <c r="C761">
        <v>-25.15</v>
      </c>
      <c r="D761">
        <v>-25</v>
      </c>
      <c r="E761">
        <v>-26.12</v>
      </c>
      <c r="H761">
        <v>-26.41</v>
      </c>
      <c r="J761" s="40" t="s">
        <v>11</v>
      </c>
      <c r="L761" s="32">
        <v>-1.120000000000001</v>
      </c>
      <c r="M761" s="32">
        <v>0.14999999999999858</v>
      </c>
      <c r="N761" s="32">
        <v>1.3500000000000014</v>
      </c>
      <c r="O761" s="32">
        <v>0.26499999999999702</v>
      </c>
      <c r="P761" s="128">
        <f t="shared" si="66"/>
        <v>0.37999999999999901</v>
      </c>
      <c r="Q761" s="128">
        <f t="shared" si="67"/>
        <v>-0.97000000000000242</v>
      </c>
      <c r="R761" s="128">
        <f t="shared" si="68"/>
        <v>-0.29500000000000171</v>
      </c>
      <c r="S761" s="98">
        <v>0</v>
      </c>
      <c r="T761" s="99">
        <v>0</v>
      </c>
      <c r="U761" s="99">
        <v>0</v>
      </c>
      <c r="V761" s="99">
        <v>0</v>
      </c>
      <c r="W761" s="99">
        <v>0</v>
      </c>
    </row>
    <row r="762" spans="1:23" x14ac:dyDescent="0.3">
      <c r="A762" s="4">
        <v>2019</v>
      </c>
      <c r="B762">
        <v>-26.78</v>
      </c>
      <c r="C762">
        <v>-26.69</v>
      </c>
      <c r="D762">
        <v>-25.66</v>
      </c>
      <c r="E762">
        <v>-26.19</v>
      </c>
      <c r="H762">
        <v>-26.77</v>
      </c>
      <c r="J762" s="40" t="s">
        <v>11</v>
      </c>
      <c r="L762" s="32">
        <v>-0.53000000000000114</v>
      </c>
      <c r="M762" s="32">
        <v>1.0300000000000011</v>
      </c>
      <c r="N762" s="32">
        <v>8.9999999999999858E-2</v>
      </c>
      <c r="O762" s="32">
        <v>0.80999999999999872</v>
      </c>
      <c r="P762" s="128">
        <f t="shared" si="66"/>
        <v>0.58999999999999986</v>
      </c>
      <c r="Q762" s="128">
        <f t="shared" si="67"/>
        <v>0.5</v>
      </c>
      <c r="R762" s="128">
        <f t="shared" si="68"/>
        <v>0.54499999999999815</v>
      </c>
      <c r="S762" s="98">
        <v>0</v>
      </c>
      <c r="T762" s="99">
        <v>0</v>
      </c>
      <c r="U762" s="99">
        <v>0</v>
      </c>
      <c r="V762" s="99">
        <v>0</v>
      </c>
      <c r="W762" s="99">
        <v>0</v>
      </c>
    </row>
    <row r="763" spans="1:23" x14ac:dyDescent="0.3">
      <c r="A763" s="4">
        <v>2020</v>
      </c>
      <c r="B763">
        <v>-29.81</v>
      </c>
      <c r="C763">
        <v>-28.97</v>
      </c>
      <c r="D763">
        <v>-28.62</v>
      </c>
      <c r="E763">
        <v>-29.11</v>
      </c>
      <c r="H763">
        <v>-29.31</v>
      </c>
      <c r="J763" s="40" t="s">
        <v>18</v>
      </c>
      <c r="L763" s="32">
        <v>-0.48999999999999844</v>
      </c>
      <c r="M763" s="32">
        <v>0.34999999999999787</v>
      </c>
      <c r="N763" s="32">
        <v>0.83999999999999986</v>
      </c>
      <c r="O763" s="32">
        <v>0.52499999999999858</v>
      </c>
      <c r="P763" s="128">
        <f t="shared" si="66"/>
        <v>0.69999999999999929</v>
      </c>
      <c r="Q763" s="128">
        <f t="shared" si="67"/>
        <v>-0.14000000000000057</v>
      </c>
      <c r="R763" s="128">
        <f t="shared" si="68"/>
        <v>0.28000000000000114</v>
      </c>
      <c r="S763" s="98">
        <v>0</v>
      </c>
      <c r="T763" s="99">
        <v>0</v>
      </c>
      <c r="U763" s="99">
        <v>0</v>
      </c>
      <c r="V763" s="99">
        <v>0</v>
      </c>
      <c r="W763" s="99">
        <v>0</v>
      </c>
    </row>
    <row r="764" spans="1:23" x14ac:dyDescent="0.3">
      <c r="A764" s="4">
        <v>2021</v>
      </c>
      <c r="B764">
        <v>-29.71</v>
      </c>
      <c r="C764">
        <v>-28.75</v>
      </c>
      <c r="D764">
        <v>-28.39</v>
      </c>
      <c r="E764">
        <v>-28.86</v>
      </c>
      <c r="H764">
        <v>-29.04</v>
      </c>
      <c r="J764" s="40" t="s">
        <v>18</v>
      </c>
      <c r="L764" s="32">
        <v>-0.46999999999999886</v>
      </c>
      <c r="M764" s="32">
        <v>0.35999999999999943</v>
      </c>
      <c r="N764" s="32">
        <v>0.96000000000000085</v>
      </c>
      <c r="O764" s="32">
        <v>0.60500000000000043</v>
      </c>
      <c r="P764" s="128">
        <f t="shared" si="66"/>
        <v>0.85000000000000142</v>
      </c>
      <c r="Q764" s="128">
        <f t="shared" si="67"/>
        <v>-0.10999999999999943</v>
      </c>
      <c r="R764" s="128">
        <f t="shared" si="68"/>
        <v>0.37000000000000099</v>
      </c>
      <c r="S764" s="98">
        <v>0</v>
      </c>
      <c r="T764" s="99">
        <v>0</v>
      </c>
      <c r="U764" s="99">
        <v>0</v>
      </c>
      <c r="V764" s="99">
        <v>0</v>
      </c>
      <c r="W764" s="99">
        <v>0</v>
      </c>
    </row>
    <row r="765" spans="1:23" x14ac:dyDescent="0.3">
      <c r="A765" s="4">
        <v>2022</v>
      </c>
      <c r="B765">
        <v>-28.46</v>
      </c>
      <c r="C765">
        <v>-27.71</v>
      </c>
      <c r="D765">
        <v>-26.14</v>
      </c>
      <c r="E765">
        <v>-26.97</v>
      </c>
      <c r="H765">
        <v>-27.16</v>
      </c>
      <c r="J765" s="40" t="s">
        <v>11</v>
      </c>
      <c r="L765" s="32">
        <v>-0.82999999999999829</v>
      </c>
      <c r="M765" s="32">
        <v>1.5700000000000003</v>
      </c>
      <c r="N765" s="32">
        <v>0.75</v>
      </c>
      <c r="O765" s="32">
        <v>1.5300000000000011</v>
      </c>
      <c r="P765" s="128">
        <f t="shared" si="66"/>
        <v>1.490000000000002</v>
      </c>
      <c r="Q765" s="128">
        <f t="shared" si="67"/>
        <v>0.74000000000000199</v>
      </c>
      <c r="R765" s="128">
        <f t="shared" si="68"/>
        <v>1.115000000000002</v>
      </c>
      <c r="S765" s="98">
        <v>0</v>
      </c>
      <c r="T765" s="99">
        <v>0</v>
      </c>
      <c r="U765" s="99">
        <v>0</v>
      </c>
      <c r="V765" s="99">
        <v>0</v>
      </c>
      <c r="W765" s="99">
        <v>1</v>
      </c>
    </row>
    <row r="766" spans="1:23" x14ac:dyDescent="0.3">
      <c r="A766" s="4">
        <v>2023</v>
      </c>
      <c r="B766">
        <v>-28.24</v>
      </c>
      <c r="C766">
        <v>-27.53</v>
      </c>
      <c r="D766">
        <v>-26.48</v>
      </c>
      <c r="E766">
        <v>-27.19</v>
      </c>
      <c r="H766">
        <v>-27.23</v>
      </c>
      <c r="J766" s="40" t="s">
        <v>11</v>
      </c>
      <c r="L766" s="32">
        <v>-0.71000000000000085</v>
      </c>
      <c r="M766" s="32">
        <v>1.0500000000000007</v>
      </c>
      <c r="N766" s="32">
        <v>0.7099999999999973</v>
      </c>
      <c r="O766" s="32">
        <v>1.0499999999999972</v>
      </c>
      <c r="P766" s="128">
        <f t="shared" si="66"/>
        <v>1.0499999999999972</v>
      </c>
      <c r="Q766" s="128">
        <f t="shared" si="67"/>
        <v>0.33999999999999986</v>
      </c>
      <c r="R766" s="128">
        <f t="shared" si="68"/>
        <v>0.69499999999999673</v>
      </c>
      <c r="S766" s="98">
        <v>0</v>
      </c>
      <c r="T766" s="99">
        <v>0</v>
      </c>
      <c r="U766" s="99">
        <v>0</v>
      </c>
      <c r="V766" s="99">
        <v>0</v>
      </c>
      <c r="W766" s="99">
        <v>0</v>
      </c>
    </row>
    <row r="767" spans="1:23" x14ac:dyDescent="0.3">
      <c r="A767" s="4">
        <v>2024</v>
      </c>
      <c r="B767">
        <v>-27.75</v>
      </c>
      <c r="C767">
        <v>-26.92</v>
      </c>
      <c r="D767">
        <v>-26.5</v>
      </c>
      <c r="E767">
        <v>-26.96</v>
      </c>
      <c r="H767">
        <v>-27.44</v>
      </c>
      <c r="J767" s="40" t="s">
        <v>11</v>
      </c>
      <c r="L767" s="32">
        <v>-0.46000000000000085</v>
      </c>
      <c r="M767" s="32">
        <v>0.42000000000000171</v>
      </c>
      <c r="N767" s="32">
        <v>0.82999999999999829</v>
      </c>
      <c r="O767" s="32">
        <v>0.60500000000000043</v>
      </c>
      <c r="P767" s="128">
        <f t="shared" si="66"/>
        <v>0.78999999999999915</v>
      </c>
      <c r="Q767" s="128">
        <f t="shared" si="67"/>
        <v>-3.9999999999999147E-2</v>
      </c>
      <c r="R767" s="128">
        <f t="shared" si="68"/>
        <v>0.375</v>
      </c>
      <c r="S767" s="98">
        <v>0</v>
      </c>
      <c r="T767" s="99">
        <v>0</v>
      </c>
      <c r="U767" s="99">
        <v>0</v>
      </c>
      <c r="V767" s="99">
        <v>0</v>
      </c>
      <c r="W767" s="99">
        <v>0</v>
      </c>
    </row>
    <row r="768" spans="1:23" x14ac:dyDescent="0.3">
      <c r="A768" s="4">
        <v>2025</v>
      </c>
      <c r="B768">
        <v>-28.06</v>
      </c>
      <c r="C768">
        <v>-27.48</v>
      </c>
      <c r="D768">
        <v>-26.26</v>
      </c>
      <c r="E768">
        <v>-26.85</v>
      </c>
      <c r="H768">
        <v>-26.97</v>
      </c>
      <c r="J768" s="40" t="s">
        <v>11</v>
      </c>
      <c r="L768" s="32">
        <v>-0.58999999999999986</v>
      </c>
      <c r="M768" s="32">
        <v>1.2199999999999989</v>
      </c>
      <c r="N768" s="32">
        <v>0.57999999999999829</v>
      </c>
      <c r="O768" s="32">
        <v>1.2149999999999999</v>
      </c>
      <c r="P768" s="128">
        <f t="shared" si="66"/>
        <v>1.2099999999999973</v>
      </c>
      <c r="Q768" s="128">
        <f t="shared" si="67"/>
        <v>0.62999999999999901</v>
      </c>
      <c r="R768" s="128">
        <f t="shared" si="68"/>
        <v>0.91999999999999815</v>
      </c>
      <c r="S768" s="98">
        <v>0</v>
      </c>
      <c r="T768" s="99">
        <v>0</v>
      </c>
      <c r="U768" s="99">
        <v>0</v>
      </c>
      <c r="V768" s="99">
        <v>0</v>
      </c>
      <c r="W768" s="99">
        <v>0</v>
      </c>
    </row>
    <row r="769" spans="1:23" x14ac:dyDescent="0.3">
      <c r="A769" s="4">
        <v>2026</v>
      </c>
      <c r="B769">
        <v>-28.55</v>
      </c>
      <c r="C769">
        <v>-27.59</v>
      </c>
      <c r="D769">
        <v>-26.33</v>
      </c>
      <c r="E769">
        <v>-26.9</v>
      </c>
      <c r="H769">
        <v>-27.26</v>
      </c>
      <c r="J769" s="40" t="s">
        <v>11</v>
      </c>
      <c r="L769" s="32">
        <v>-0.57000000000000028</v>
      </c>
      <c r="M769" s="32">
        <v>1.2600000000000016</v>
      </c>
      <c r="N769" s="32">
        <v>0.96000000000000085</v>
      </c>
      <c r="O769" s="32">
        <v>1.4550000000000018</v>
      </c>
      <c r="P769" s="128">
        <f t="shared" si="66"/>
        <v>1.6500000000000021</v>
      </c>
      <c r="Q769" s="128">
        <f t="shared" si="67"/>
        <v>0.69000000000000128</v>
      </c>
      <c r="R769" s="128">
        <f t="shared" si="68"/>
        <v>1.1700000000000017</v>
      </c>
      <c r="S769" s="98">
        <v>0</v>
      </c>
      <c r="T769" s="99">
        <v>0</v>
      </c>
      <c r="U769" s="99">
        <v>0</v>
      </c>
      <c r="V769" s="99">
        <v>0</v>
      </c>
      <c r="W769" s="99">
        <v>0</v>
      </c>
    </row>
    <row r="770" spans="1:23" x14ac:dyDescent="0.3">
      <c r="A770" s="4">
        <v>2027</v>
      </c>
      <c r="B770">
        <v>-28.33</v>
      </c>
      <c r="C770">
        <v>-27.53</v>
      </c>
      <c r="D770">
        <v>-26.36</v>
      </c>
      <c r="E770">
        <v>-27.13</v>
      </c>
      <c r="H770">
        <v>-27.25</v>
      </c>
      <c r="J770" s="40" t="s">
        <v>11</v>
      </c>
      <c r="L770" s="32">
        <v>-0.76999999999999957</v>
      </c>
      <c r="M770" s="32">
        <v>1.1700000000000017</v>
      </c>
      <c r="N770" s="32">
        <v>0.79999999999999716</v>
      </c>
      <c r="O770" s="32">
        <v>1.1850000000000023</v>
      </c>
      <c r="P770" s="128">
        <f t="shared" si="66"/>
        <v>1.1999999999999993</v>
      </c>
      <c r="Q770" s="128">
        <f t="shared" si="67"/>
        <v>0.40000000000000213</v>
      </c>
      <c r="R770" s="128">
        <f t="shared" si="68"/>
        <v>0.80000000000000071</v>
      </c>
      <c r="S770" s="98">
        <v>0</v>
      </c>
      <c r="T770" s="99">
        <v>0</v>
      </c>
      <c r="U770" s="99">
        <v>0</v>
      </c>
      <c r="V770" s="99">
        <v>0</v>
      </c>
      <c r="W770" s="99">
        <v>0</v>
      </c>
    </row>
    <row r="771" spans="1:23" x14ac:dyDescent="0.3">
      <c r="A771" s="4">
        <v>2028</v>
      </c>
      <c r="B771">
        <v>-27.68</v>
      </c>
      <c r="C771">
        <v>-27.42</v>
      </c>
      <c r="D771">
        <v>-26.17</v>
      </c>
      <c r="E771">
        <v>-26.73</v>
      </c>
      <c r="H771">
        <v>-26.84</v>
      </c>
      <c r="J771" s="40" t="s">
        <v>11</v>
      </c>
      <c r="L771" s="32">
        <v>-0.55999999999999872</v>
      </c>
      <c r="M771" s="32">
        <v>1.25</v>
      </c>
      <c r="N771" s="32">
        <v>0.25999999999999801</v>
      </c>
      <c r="O771" s="32">
        <v>1.0999999999999979</v>
      </c>
      <c r="P771" s="128">
        <f t="shared" ref="P771:P834" si="69">IF(OR(E771="", D771="", B771="", C771=""), "", MIN(E771,D771)-MIN(B771,C771))</f>
        <v>0.94999999999999929</v>
      </c>
      <c r="Q771" s="128">
        <f t="shared" ref="Q771:Q834" si="70">IF(OR(E771="", D771="", B771="", C771=""), "", MIN(E771,D771)-MAX(B771,C771))</f>
        <v>0.69000000000000128</v>
      </c>
      <c r="R771" s="128">
        <f t="shared" ref="R771:R834" si="71">IF(OR(E771="", D771="", B771="", C771=""), "", MIN(E771,D771)-AVERAGE(B771,C771))</f>
        <v>0.82000000000000028</v>
      </c>
      <c r="S771" s="98">
        <v>0</v>
      </c>
      <c r="T771" s="99">
        <v>0</v>
      </c>
      <c r="U771" s="99">
        <v>0</v>
      </c>
      <c r="V771" s="99">
        <v>0</v>
      </c>
      <c r="W771" s="99">
        <v>0</v>
      </c>
    </row>
    <row r="772" spans="1:23" x14ac:dyDescent="0.3">
      <c r="A772" s="4">
        <v>2029</v>
      </c>
      <c r="B772">
        <v>-28.08</v>
      </c>
      <c r="C772">
        <v>-27.48</v>
      </c>
      <c r="D772">
        <v>-26.31</v>
      </c>
      <c r="E772">
        <v>-26.96</v>
      </c>
      <c r="H772">
        <v>-27.22</v>
      </c>
      <c r="J772" s="40" t="s">
        <v>11</v>
      </c>
      <c r="L772" s="32">
        <v>-0.65000000000000213</v>
      </c>
      <c r="M772" s="32">
        <v>1.1700000000000017</v>
      </c>
      <c r="N772" s="32">
        <v>0.59999999999999787</v>
      </c>
      <c r="O772" s="32">
        <v>1.1450000000000031</v>
      </c>
      <c r="P772" s="128">
        <f t="shared" si="69"/>
        <v>1.1199999999999974</v>
      </c>
      <c r="Q772" s="128">
        <f t="shared" si="70"/>
        <v>0.51999999999999957</v>
      </c>
      <c r="R772" s="128">
        <f t="shared" si="71"/>
        <v>0.82000000000000028</v>
      </c>
      <c r="S772" s="98">
        <v>0</v>
      </c>
      <c r="T772" s="99">
        <v>0</v>
      </c>
      <c r="U772" s="99">
        <v>0</v>
      </c>
      <c r="V772" s="99">
        <v>0</v>
      </c>
      <c r="W772" s="99">
        <v>0</v>
      </c>
    </row>
    <row r="773" spans="1:23" x14ac:dyDescent="0.3">
      <c r="A773" s="4">
        <v>2030</v>
      </c>
      <c r="B773">
        <v>-28.18</v>
      </c>
      <c r="C773">
        <v>-28.23</v>
      </c>
      <c r="D773">
        <v>-26.84</v>
      </c>
      <c r="E773">
        <v>-27.45</v>
      </c>
      <c r="H773">
        <v>-27.26</v>
      </c>
      <c r="J773" s="40" t="s">
        <v>11</v>
      </c>
      <c r="L773" s="32">
        <v>-0.60999999999999943</v>
      </c>
      <c r="M773" s="32">
        <v>1.3900000000000006</v>
      </c>
      <c r="N773" s="32">
        <v>-5.0000000000000711E-2</v>
      </c>
      <c r="O773" s="32">
        <v>1.0599999999999987</v>
      </c>
      <c r="P773" s="128">
        <f t="shared" si="69"/>
        <v>0.78000000000000114</v>
      </c>
      <c r="Q773" s="128">
        <f t="shared" si="70"/>
        <v>0.73000000000000043</v>
      </c>
      <c r="R773" s="128">
        <f t="shared" si="71"/>
        <v>0.75499999999999901</v>
      </c>
      <c r="S773" s="98">
        <v>0</v>
      </c>
      <c r="T773" s="99">
        <v>1</v>
      </c>
      <c r="U773" s="99">
        <v>1</v>
      </c>
      <c r="V773" s="99">
        <v>1</v>
      </c>
      <c r="W773" s="99">
        <v>0</v>
      </c>
    </row>
    <row r="774" spans="1:23" x14ac:dyDescent="0.3">
      <c r="A774" s="4">
        <v>2031</v>
      </c>
      <c r="B774">
        <v>-28.07</v>
      </c>
      <c r="C774">
        <v>-27.95</v>
      </c>
      <c r="D774">
        <v>-26.83</v>
      </c>
      <c r="E774">
        <v>-27.27</v>
      </c>
      <c r="H774">
        <v>-27.24</v>
      </c>
      <c r="J774" s="40" t="s">
        <v>11</v>
      </c>
      <c r="L774" s="32">
        <v>-0.44000000000000128</v>
      </c>
      <c r="M774" s="32">
        <v>1.120000000000001</v>
      </c>
      <c r="N774" s="32">
        <v>0.12000000000000099</v>
      </c>
      <c r="O774" s="32">
        <v>0.96000000000000085</v>
      </c>
      <c r="P774" s="128">
        <f t="shared" si="69"/>
        <v>0.80000000000000071</v>
      </c>
      <c r="Q774" s="128">
        <f t="shared" si="70"/>
        <v>0.67999999999999972</v>
      </c>
      <c r="R774" s="128">
        <f t="shared" si="71"/>
        <v>0.73999999999999844</v>
      </c>
      <c r="S774" s="98">
        <v>0</v>
      </c>
      <c r="T774" s="99">
        <v>0</v>
      </c>
      <c r="U774" s="99">
        <v>0</v>
      </c>
      <c r="V774" s="99">
        <v>0</v>
      </c>
      <c r="W774" s="99">
        <v>0</v>
      </c>
    </row>
    <row r="775" spans="1:23" x14ac:dyDescent="0.3">
      <c r="A775" s="4">
        <v>2032</v>
      </c>
      <c r="B775">
        <v>-27.75</v>
      </c>
      <c r="C775">
        <v>-27.56</v>
      </c>
      <c r="D775">
        <v>-26.37</v>
      </c>
      <c r="E775">
        <v>-26.96</v>
      </c>
      <c r="H775">
        <v>-27.18</v>
      </c>
      <c r="J775" s="40" t="s">
        <v>11</v>
      </c>
      <c r="L775" s="32">
        <v>-0.58999999999999986</v>
      </c>
      <c r="M775" s="32">
        <v>1.1899999999999977</v>
      </c>
      <c r="N775" s="32">
        <v>0.19000000000000128</v>
      </c>
      <c r="O775" s="32">
        <v>0.99000000000000199</v>
      </c>
      <c r="P775" s="128">
        <f t="shared" si="69"/>
        <v>0.78999999999999915</v>
      </c>
      <c r="Q775" s="128">
        <f t="shared" si="70"/>
        <v>0.59999999999999787</v>
      </c>
      <c r="R775" s="128">
        <f t="shared" si="71"/>
        <v>0.69500000000000028</v>
      </c>
      <c r="S775" s="98">
        <v>0</v>
      </c>
      <c r="T775" s="99">
        <v>0</v>
      </c>
      <c r="U775" s="99">
        <v>0</v>
      </c>
      <c r="V775" s="99">
        <v>0</v>
      </c>
      <c r="W775" s="99">
        <v>0</v>
      </c>
    </row>
    <row r="776" spans="1:23" x14ac:dyDescent="0.3">
      <c r="A776" s="4">
        <v>2033</v>
      </c>
      <c r="B776">
        <v>-28.43</v>
      </c>
      <c r="C776">
        <v>-27.96</v>
      </c>
      <c r="D776">
        <v>-26.91</v>
      </c>
      <c r="E776">
        <v>-27.34</v>
      </c>
      <c r="H776">
        <v>-28.12</v>
      </c>
      <c r="J776" s="40" t="s">
        <v>11</v>
      </c>
      <c r="L776" s="32">
        <v>-0.42999999999999972</v>
      </c>
      <c r="M776" s="32">
        <v>1.0500000000000007</v>
      </c>
      <c r="N776" s="32">
        <v>0.46999999999999886</v>
      </c>
      <c r="O776" s="32">
        <v>1.0700000000000003</v>
      </c>
      <c r="P776" s="128">
        <f t="shared" si="69"/>
        <v>1.0899999999999999</v>
      </c>
      <c r="Q776" s="128">
        <f t="shared" si="70"/>
        <v>0.62000000000000099</v>
      </c>
      <c r="R776" s="128">
        <f t="shared" si="71"/>
        <v>0.85500000000000043</v>
      </c>
      <c r="S776" s="98">
        <v>0</v>
      </c>
      <c r="T776" s="99">
        <v>0</v>
      </c>
      <c r="U776" s="99">
        <v>0</v>
      </c>
      <c r="V776" s="99">
        <v>0</v>
      </c>
      <c r="W776" s="99">
        <v>0</v>
      </c>
    </row>
    <row r="777" spans="1:23" x14ac:dyDescent="0.3">
      <c r="A777" s="4">
        <v>2034</v>
      </c>
      <c r="B777">
        <v>-28.9</v>
      </c>
      <c r="C777">
        <v>-28.65</v>
      </c>
      <c r="D777">
        <v>-27.26</v>
      </c>
      <c r="E777">
        <v>-27.6</v>
      </c>
      <c r="H777">
        <v>-28</v>
      </c>
      <c r="J777" s="40" t="s">
        <v>11</v>
      </c>
      <c r="L777" s="32">
        <v>-0.33999999999999986</v>
      </c>
      <c r="M777" s="32">
        <v>1.389999999999997</v>
      </c>
      <c r="N777" s="32">
        <v>0.25</v>
      </c>
      <c r="O777" s="32">
        <v>1.3449999999999989</v>
      </c>
      <c r="P777" s="128">
        <f t="shared" si="69"/>
        <v>1.2999999999999972</v>
      </c>
      <c r="Q777" s="128">
        <f t="shared" si="70"/>
        <v>1.0499999999999972</v>
      </c>
      <c r="R777" s="128">
        <f t="shared" si="71"/>
        <v>1.1749999999999972</v>
      </c>
      <c r="S777" s="98">
        <v>0</v>
      </c>
      <c r="T777" s="99">
        <v>0</v>
      </c>
      <c r="U777" s="99">
        <v>0</v>
      </c>
      <c r="V777" s="99">
        <v>0</v>
      </c>
      <c r="W777" s="99">
        <v>0</v>
      </c>
    </row>
    <row r="778" spans="1:23" x14ac:dyDescent="0.3">
      <c r="A778" s="4">
        <v>2035</v>
      </c>
      <c r="B778">
        <v>-28.86</v>
      </c>
      <c r="C778">
        <v>-28.7</v>
      </c>
      <c r="D778">
        <v>-27.33</v>
      </c>
      <c r="E778">
        <v>-27.41</v>
      </c>
      <c r="H778">
        <v>-27.78</v>
      </c>
      <c r="J778" s="40" t="s">
        <v>11</v>
      </c>
      <c r="L778" s="32">
        <v>-8.0000000000001847E-2</v>
      </c>
      <c r="M778" s="32">
        <v>1.370000000000001</v>
      </c>
      <c r="N778" s="32">
        <v>0.16000000000000014</v>
      </c>
      <c r="O778" s="32">
        <v>1.4100000000000037</v>
      </c>
      <c r="P778" s="128">
        <f t="shared" si="69"/>
        <v>1.4499999999999993</v>
      </c>
      <c r="Q778" s="128">
        <f t="shared" si="70"/>
        <v>1.2899999999999991</v>
      </c>
      <c r="R778" s="128">
        <f t="shared" si="71"/>
        <v>1.370000000000001</v>
      </c>
      <c r="S778" s="98">
        <v>0</v>
      </c>
      <c r="T778" s="99">
        <v>0</v>
      </c>
      <c r="U778" s="99">
        <v>0</v>
      </c>
      <c r="V778" s="99">
        <v>0</v>
      </c>
      <c r="W778" s="99">
        <v>0</v>
      </c>
    </row>
    <row r="779" spans="1:23" x14ac:dyDescent="0.3">
      <c r="A779" s="4">
        <v>2036</v>
      </c>
      <c r="B779">
        <v>-28.85</v>
      </c>
      <c r="C779">
        <v>-27.91</v>
      </c>
      <c r="D779">
        <v>-27.37</v>
      </c>
      <c r="E779">
        <v>-27.54</v>
      </c>
      <c r="H779">
        <v>-28.03</v>
      </c>
      <c r="J779" s="40" t="s">
        <v>11</v>
      </c>
      <c r="L779" s="32">
        <v>-0.16999999999999815</v>
      </c>
      <c r="M779" s="32">
        <v>0.53999999999999915</v>
      </c>
      <c r="N779" s="32">
        <v>0.94000000000000128</v>
      </c>
      <c r="O779" s="32">
        <v>0.92500000000000426</v>
      </c>
      <c r="P779" s="128">
        <f t="shared" si="69"/>
        <v>1.3100000000000023</v>
      </c>
      <c r="Q779" s="128">
        <f t="shared" si="70"/>
        <v>0.37000000000000099</v>
      </c>
      <c r="R779" s="128">
        <f t="shared" si="71"/>
        <v>0.84000000000000341</v>
      </c>
      <c r="S779" s="98">
        <v>0</v>
      </c>
      <c r="T779" s="99">
        <v>0</v>
      </c>
      <c r="U779" s="99">
        <v>0</v>
      </c>
      <c r="V779" s="99">
        <v>0</v>
      </c>
      <c r="W779" s="99">
        <v>0</v>
      </c>
    </row>
    <row r="780" spans="1:23" x14ac:dyDescent="0.3">
      <c r="A780" s="4">
        <v>2037</v>
      </c>
      <c r="B780">
        <v>-28.91</v>
      </c>
      <c r="C780">
        <v>-28.67</v>
      </c>
      <c r="D780">
        <v>-27.14</v>
      </c>
      <c r="E780">
        <v>-27.58</v>
      </c>
      <c r="H780">
        <v>-27.93</v>
      </c>
      <c r="J780" s="40" t="s">
        <v>11</v>
      </c>
      <c r="L780" s="32">
        <v>-0.43999999999999773</v>
      </c>
      <c r="M780" s="32">
        <v>1.5300000000000011</v>
      </c>
      <c r="N780" s="32">
        <v>0.23999999999999844</v>
      </c>
      <c r="O780" s="32">
        <v>1.4299999999999997</v>
      </c>
      <c r="P780" s="128">
        <f t="shared" si="69"/>
        <v>1.3300000000000018</v>
      </c>
      <c r="Q780" s="128">
        <f t="shared" si="70"/>
        <v>1.0900000000000034</v>
      </c>
      <c r="R780" s="128">
        <f t="shared" si="71"/>
        <v>1.2100000000000009</v>
      </c>
      <c r="S780" s="98">
        <v>0</v>
      </c>
      <c r="T780" s="99">
        <v>0</v>
      </c>
      <c r="U780" s="99">
        <v>0</v>
      </c>
      <c r="V780" s="99">
        <v>0</v>
      </c>
      <c r="W780" s="99">
        <v>0</v>
      </c>
    </row>
    <row r="781" spans="1:23" x14ac:dyDescent="0.3">
      <c r="A781" s="4">
        <v>2038</v>
      </c>
      <c r="B781">
        <v>-27.91</v>
      </c>
      <c r="C781">
        <v>-27.26</v>
      </c>
      <c r="D781">
        <v>-26.7</v>
      </c>
      <c r="E781">
        <v>-27.17</v>
      </c>
      <c r="H781">
        <v>-27.66</v>
      </c>
      <c r="J781" s="40" t="s">
        <v>11</v>
      </c>
      <c r="L781" s="32">
        <v>-0.47000000000000242</v>
      </c>
      <c r="M781" s="32">
        <v>0.56000000000000227</v>
      </c>
      <c r="N781" s="32">
        <v>0.64999999999999858</v>
      </c>
      <c r="O781" s="32">
        <v>0.64999999999999858</v>
      </c>
      <c r="P781" s="128">
        <f t="shared" si="69"/>
        <v>0.73999999999999844</v>
      </c>
      <c r="Q781" s="128">
        <f t="shared" si="70"/>
        <v>8.9999999999999858E-2</v>
      </c>
      <c r="R781" s="128">
        <f t="shared" si="71"/>
        <v>0.41499999999999915</v>
      </c>
      <c r="S781" s="98">
        <v>0</v>
      </c>
      <c r="T781" s="99">
        <v>0</v>
      </c>
      <c r="U781" s="99">
        <v>0</v>
      </c>
      <c r="V781" s="99">
        <v>0</v>
      </c>
      <c r="W781" s="99">
        <v>0</v>
      </c>
    </row>
    <row r="782" spans="1:23" x14ac:dyDescent="0.3">
      <c r="A782" s="4">
        <v>2039</v>
      </c>
      <c r="B782">
        <v>-28.38</v>
      </c>
      <c r="C782">
        <v>-28.24</v>
      </c>
      <c r="D782">
        <v>-26.9</v>
      </c>
      <c r="E782">
        <v>-27.18</v>
      </c>
      <c r="H782">
        <v>-27.28</v>
      </c>
      <c r="J782" s="40" t="s">
        <v>11</v>
      </c>
      <c r="L782" s="32">
        <v>-0.28000000000000114</v>
      </c>
      <c r="M782" s="32">
        <v>1.3399999999999999</v>
      </c>
      <c r="N782" s="32">
        <v>0.14000000000000057</v>
      </c>
      <c r="O782" s="32">
        <v>1.2699999999999996</v>
      </c>
      <c r="P782" s="128">
        <f t="shared" si="69"/>
        <v>1.1999999999999993</v>
      </c>
      <c r="Q782" s="128">
        <f t="shared" si="70"/>
        <v>1.0599999999999987</v>
      </c>
      <c r="R782" s="128">
        <f t="shared" si="71"/>
        <v>1.129999999999999</v>
      </c>
      <c r="S782" s="98">
        <v>0</v>
      </c>
      <c r="T782" s="99">
        <v>0</v>
      </c>
      <c r="U782" s="99">
        <v>0</v>
      </c>
      <c r="V782" s="99">
        <v>0</v>
      </c>
      <c r="W782" s="99">
        <v>0</v>
      </c>
    </row>
    <row r="783" spans="1:23" x14ac:dyDescent="0.3">
      <c r="A783" s="4">
        <v>2040</v>
      </c>
      <c r="B783">
        <v>-28.22</v>
      </c>
      <c r="C783">
        <v>-28.3</v>
      </c>
      <c r="D783">
        <v>-26.68</v>
      </c>
      <c r="E783">
        <v>-27.65</v>
      </c>
      <c r="H783">
        <v>-27.4</v>
      </c>
      <c r="J783" s="40" t="s">
        <v>11</v>
      </c>
      <c r="L783" s="32">
        <v>-0.96999999999999886</v>
      </c>
      <c r="M783" s="32">
        <v>1.620000000000001</v>
      </c>
      <c r="N783" s="32">
        <v>-8.0000000000001847E-2</v>
      </c>
      <c r="O783" s="32">
        <v>1.0949999999999989</v>
      </c>
      <c r="P783" s="128">
        <f t="shared" si="69"/>
        <v>0.65000000000000213</v>
      </c>
      <c r="Q783" s="128">
        <f t="shared" si="70"/>
        <v>0.57000000000000028</v>
      </c>
      <c r="R783" s="128">
        <f t="shared" si="71"/>
        <v>0.60999999999999943</v>
      </c>
      <c r="S783" s="98">
        <v>0</v>
      </c>
      <c r="T783" s="99">
        <v>1</v>
      </c>
      <c r="U783" s="99">
        <v>1</v>
      </c>
      <c r="V783" s="99">
        <v>1</v>
      </c>
      <c r="W783" s="99">
        <v>0</v>
      </c>
    </row>
    <row r="784" spans="1:23" x14ac:dyDescent="0.3">
      <c r="A784" s="4">
        <v>2041</v>
      </c>
      <c r="B784">
        <v>-29.08</v>
      </c>
      <c r="C784">
        <v>-28.31</v>
      </c>
      <c r="D784">
        <v>-27.1</v>
      </c>
      <c r="E784">
        <v>-28.03</v>
      </c>
      <c r="H784">
        <v>-27.69</v>
      </c>
      <c r="J784" s="40" t="s">
        <v>11</v>
      </c>
      <c r="L784" s="32">
        <v>-0.92999999999999972</v>
      </c>
      <c r="M784" s="32">
        <v>1.2099999999999973</v>
      </c>
      <c r="N784" s="32">
        <v>0.76999999999999957</v>
      </c>
      <c r="O784" s="32">
        <v>1.129999999999999</v>
      </c>
      <c r="P784" s="128">
        <f t="shared" si="69"/>
        <v>1.0499999999999972</v>
      </c>
      <c r="Q784" s="128">
        <f t="shared" si="70"/>
        <v>0.27999999999999758</v>
      </c>
      <c r="R784" s="128">
        <f t="shared" si="71"/>
        <v>0.66499999999999915</v>
      </c>
      <c r="S784" s="98">
        <v>0</v>
      </c>
      <c r="T784" s="99">
        <v>0</v>
      </c>
      <c r="U784" s="99">
        <v>0</v>
      </c>
      <c r="V784" s="99">
        <v>0</v>
      </c>
      <c r="W784" s="99">
        <v>0</v>
      </c>
    </row>
    <row r="785" spans="1:23" x14ac:dyDescent="0.3">
      <c r="A785" s="4">
        <v>2042</v>
      </c>
      <c r="B785">
        <v>-28.79</v>
      </c>
      <c r="C785">
        <v>-28.59</v>
      </c>
      <c r="D785">
        <v>-27.15</v>
      </c>
      <c r="E785">
        <v>-27.92</v>
      </c>
      <c r="H785">
        <v>-27.67</v>
      </c>
      <c r="J785" s="40" t="s">
        <v>11</v>
      </c>
      <c r="L785" s="32">
        <v>-0.77000000000000313</v>
      </c>
      <c r="M785" s="32">
        <v>1.4400000000000013</v>
      </c>
      <c r="N785" s="32">
        <v>0.19999999999999929</v>
      </c>
      <c r="O785" s="32">
        <v>1.1549999999999976</v>
      </c>
      <c r="P785" s="128">
        <f t="shared" si="69"/>
        <v>0.86999999999999744</v>
      </c>
      <c r="Q785" s="128">
        <f t="shared" si="70"/>
        <v>0.66999999999999815</v>
      </c>
      <c r="R785" s="128">
        <f t="shared" si="71"/>
        <v>0.76999999999999602</v>
      </c>
      <c r="S785" s="98">
        <v>0</v>
      </c>
      <c r="T785" s="99">
        <v>0</v>
      </c>
      <c r="U785" s="99">
        <v>0</v>
      </c>
      <c r="V785" s="99">
        <v>0</v>
      </c>
      <c r="W785" s="99">
        <v>0</v>
      </c>
    </row>
    <row r="786" spans="1:23" x14ac:dyDescent="0.3">
      <c r="A786" s="4">
        <v>2043</v>
      </c>
      <c r="B786">
        <v>-28.29</v>
      </c>
      <c r="C786">
        <v>-28</v>
      </c>
      <c r="D786">
        <v>-26.77</v>
      </c>
      <c r="E786">
        <v>-27.34</v>
      </c>
      <c r="H786">
        <v>-27.73</v>
      </c>
      <c r="J786" s="40" t="s">
        <v>11</v>
      </c>
      <c r="L786" s="32">
        <v>-0.57000000000000028</v>
      </c>
      <c r="M786" s="32">
        <v>1.2300000000000004</v>
      </c>
      <c r="N786" s="32">
        <v>0.28999999999999915</v>
      </c>
      <c r="O786" s="32">
        <v>1.0899999999999999</v>
      </c>
      <c r="P786" s="128">
        <f t="shared" si="69"/>
        <v>0.94999999999999929</v>
      </c>
      <c r="Q786" s="128">
        <f t="shared" si="70"/>
        <v>0.66000000000000014</v>
      </c>
      <c r="R786" s="128">
        <f t="shared" si="71"/>
        <v>0.80499999999999972</v>
      </c>
      <c r="S786" s="98">
        <v>0</v>
      </c>
      <c r="T786" s="99">
        <v>0</v>
      </c>
      <c r="U786" s="99">
        <v>0</v>
      </c>
      <c r="V786" s="99">
        <v>0</v>
      </c>
      <c r="W786" s="99">
        <v>0</v>
      </c>
    </row>
    <row r="787" spans="1:23" x14ac:dyDescent="0.3">
      <c r="A787" s="4">
        <v>2044</v>
      </c>
      <c r="B787">
        <v>-28.33</v>
      </c>
      <c r="C787">
        <v>-27.86</v>
      </c>
      <c r="D787">
        <v>-26.59</v>
      </c>
      <c r="E787">
        <v>-27.65</v>
      </c>
      <c r="H787">
        <v>-27.78</v>
      </c>
      <c r="J787" s="40" t="s">
        <v>11</v>
      </c>
      <c r="L787" s="32">
        <v>-1.0599999999999987</v>
      </c>
      <c r="M787" s="32">
        <v>1.2699999999999996</v>
      </c>
      <c r="N787" s="32">
        <v>0.46999999999999886</v>
      </c>
      <c r="O787" s="32">
        <v>0.97500000000000142</v>
      </c>
      <c r="P787" s="128">
        <f t="shared" si="69"/>
        <v>0.67999999999999972</v>
      </c>
      <c r="Q787" s="128">
        <f t="shared" si="70"/>
        <v>0.21000000000000085</v>
      </c>
      <c r="R787" s="128">
        <f t="shared" si="71"/>
        <v>0.44500000000000028</v>
      </c>
      <c r="S787" s="98">
        <v>0</v>
      </c>
      <c r="T787" s="99">
        <v>0</v>
      </c>
      <c r="U787" s="99">
        <v>0</v>
      </c>
      <c r="V787" s="99">
        <v>0</v>
      </c>
      <c r="W787" s="99">
        <v>0</v>
      </c>
    </row>
    <row r="788" spans="1:23" x14ac:dyDescent="0.3">
      <c r="A788" s="4">
        <v>2045</v>
      </c>
      <c r="B788">
        <v>-27.81</v>
      </c>
      <c r="C788">
        <v>-27.29</v>
      </c>
      <c r="D788">
        <v>-27.23</v>
      </c>
      <c r="E788">
        <v>-27.37</v>
      </c>
      <c r="H788">
        <v>-27.69</v>
      </c>
      <c r="J788" s="40" t="s">
        <v>11</v>
      </c>
      <c r="L788" s="32">
        <v>-0.14000000000000057</v>
      </c>
      <c r="M788" s="32">
        <v>5.9999999999998721E-2</v>
      </c>
      <c r="N788" s="32">
        <v>0.51999999999999957</v>
      </c>
      <c r="O788" s="32">
        <v>0.24999999999999645</v>
      </c>
      <c r="P788" s="128">
        <f t="shared" si="69"/>
        <v>0.43999999999999773</v>
      </c>
      <c r="Q788" s="128">
        <f t="shared" si="70"/>
        <v>-8.0000000000001847E-2</v>
      </c>
      <c r="R788" s="128">
        <f t="shared" si="71"/>
        <v>0.17999999999999616</v>
      </c>
      <c r="S788" s="98">
        <v>0</v>
      </c>
      <c r="T788" s="99">
        <v>0</v>
      </c>
      <c r="U788" s="99">
        <v>0</v>
      </c>
      <c r="V788" s="99">
        <v>0</v>
      </c>
      <c r="W788" s="99">
        <v>0</v>
      </c>
    </row>
    <row r="789" spans="1:23" x14ac:dyDescent="0.3">
      <c r="A789" s="4">
        <v>2046</v>
      </c>
      <c r="B789">
        <v>-27.78</v>
      </c>
      <c r="C789">
        <v>-27.39</v>
      </c>
      <c r="D789">
        <v>-27.11</v>
      </c>
      <c r="E789">
        <v>-28.43</v>
      </c>
      <c r="H789">
        <v>-27.51</v>
      </c>
      <c r="J789" s="40" t="s">
        <v>11</v>
      </c>
      <c r="L789" s="32">
        <v>-1.3200000000000003</v>
      </c>
      <c r="M789" s="32">
        <v>0.28000000000000114</v>
      </c>
      <c r="N789" s="32">
        <v>0.39000000000000057</v>
      </c>
      <c r="O789" s="32">
        <v>-0.18499999999999872</v>
      </c>
      <c r="P789" s="128">
        <f t="shared" si="69"/>
        <v>-0.64999999999999858</v>
      </c>
      <c r="Q789" s="128">
        <f t="shared" si="70"/>
        <v>-1.0399999999999991</v>
      </c>
      <c r="R789" s="128">
        <f t="shared" si="71"/>
        <v>-0.84499999999999886</v>
      </c>
      <c r="S789" s="98">
        <v>0</v>
      </c>
      <c r="T789" s="99">
        <v>0</v>
      </c>
      <c r="U789" s="99">
        <v>0</v>
      </c>
      <c r="V789" s="99">
        <v>0</v>
      </c>
      <c r="W789" s="99">
        <v>0</v>
      </c>
    </row>
    <row r="790" spans="1:23" x14ac:dyDescent="0.3">
      <c r="A790" s="4">
        <v>2047</v>
      </c>
      <c r="B790">
        <v>-27.9</v>
      </c>
      <c r="C790">
        <v>-27.05</v>
      </c>
      <c r="D790">
        <v>-26.87</v>
      </c>
      <c r="E790">
        <v>-26.91</v>
      </c>
      <c r="H790">
        <v>-27.52</v>
      </c>
      <c r="J790" s="40" t="s">
        <v>11</v>
      </c>
      <c r="L790" s="32">
        <v>-3.9999999999999147E-2</v>
      </c>
      <c r="M790" s="32">
        <v>0.17999999999999972</v>
      </c>
      <c r="N790" s="32">
        <v>0.84999999999999787</v>
      </c>
      <c r="O790" s="32">
        <v>0.58500000000000085</v>
      </c>
      <c r="P790" s="128">
        <f t="shared" si="69"/>
        <v>0.98999999999999844</v>
      </c>
      <c r="Q790" s="128">
        <f t="shared" si="70"/>
        <v>0.14000000000000057</v>
      </c>
      <c r="R790" s="128">
        <f t="shared" si="71"/>
        <v>0.56500000000000128</v>
      </c>
      <c r="S790" s="98">
        <v>0</v>
      </c>
      <c r="T790" s="99">
        <v>0</v>
      </c>
      <c r="U790" s="99">
        <v>0</v>
      </c>
      <c r="V790" s="99">
        <v>0</v>
      </c>
      <c r="W790" s="99">
        <v>0</v>
      </c>
    </row>
    <row r="791" spans="1:23" x14ac:dyDescent="0.3">
      <c r="A791" s="4">
        <v>2048</v>
      </c>
      <c r="B791">
        <v>-27.83</v>
      </c>
      <c r="C791">
        <v>-27.9</v>
      </c>
      <c r="D791">
        <v>-27.03</v>
      </c>
      <c r="E791">
        <v>-26.86</v>
      </c>
      <c r="H791">
        <v>-27.52</v>
      </c>
      <c r="J791" s="40" t="s">
        <v>11</v>
      </c>
      <c r="L791" s="32">
        <v>0.17000000000000171</v>
      </c>
      <c r="M791" s="32">
        <v>0.86999999999999744</v>
      </c>
      <c r="N791" s="32">
        <v>-7.0000000000000284E-2</v>
      </c>
      <c r="O791" s="32">
        <v>0.91999999999999815</v>
      </c>
      <c r="P791" s="128">
        <f t="shared" si="69"/>
        <v>0.86999999999999744</v>
      </c>
      <c r="Q791" s="128">
        <f t="shared" si="70"/>
        <v>0.79999999999999716</v>
      </c>
      <c r="R791" s="128">
        <f t="shared" si="71"/>
        <v>0.8349999999999973</v>
      </c>
      <c r="S791" s="98">
        <v>0</v>
      </c>
      <c r="T791" s="99">
        <v>1</v>
      </c>
      <c r="U791" s="99">
        <v>1</v>
      </c>
      <c r="V791" s="99">
        <v>1</v>
      </c>
      <c r="W791" s="99">
        <v>0</v>
      </c>
    </row>
    <row r="792" spans="1:23" x14ac:dyDescent="0.3">
      <c r="A792" s="4">
        <v>2049</v>
      </c>
      <c r="B792">
        <v>-27.7</v>
      </c>
      <c r="C792">
        <v>-25.99</v>
      </c>
      <c r="D792">
        <v>-25.64</v>
      </c>
      <c r="H792">
        <v>-26.71</v>
      </c>
      <c r="J792" s="40" t="s">
        <v>11</v>
      </c>
      <c r="L792" s="32">
        <v>25.64</v>
      </c>
      <c r="M792" s="32">
        <v>0.34999999999999787</v>
      </c>
      <c r="N792" s="32">
        <v>1.7100000000000009</v>
      </c>
      <c r="O792" s="32">
        <v>1.2049999999999983</v>
      </c>
      <c r="P792" s="128" t="str">
        <f t="shared" si="69"/>
        <v/>
      </c>
      <c r="Q792" s="128" t="str">
        <f t="shared" si="70"/>
        <v/>
      </c>
      <c r="R792" s="128" t="str">
        <f t="shared" si="71"/>
        <v/>
      </c>
      <c r="T792" s="99">
        <v>0</v>
      </c>
      <c r="U792" s="99">
        <v>0</v>
      </c>
      <c r="V792" s="99">
        <v>0</v>
      </c>
    </row>
    <row r="793" spans="1:23" x14ac:dyDescent="0.3">
      <c r="A793" s="4">
        <v>2050</v>
      </c>
      <c r="B793">
        <v>-29.06</v>
      </c>
      <c r="C793">
        <v>-28.35</v>
      </c>
      <c r="D793">
        <v>-28.21</v>
      </c>
      <c r="E793">
        <v>-28.49</v>
      </c>
      <c r="H793">
        <v>-28.47</v>
      </c>
      <c r="J793" s="40" t="s">
        <v>18</v>
      </c>
      <c r="L793" s="32">
        <v>-0.27999999999999758</v>
      </c>
      <c r="M793" s="32">
        <v>0.14000000000000057</v>
      </c>
      <c r="N793" s="32">
        <v>0.7099999999999973</v>
      </c>
      <c r="O793" s="32">
        <v>0.35499999999999687</v>
      </c>
      <c r="P793" s="128">
        <f t="shared" si="69"/>
        <v>0.57000000000000028</v>
      </c>
      <c r="Q793" s="128">
        <f t="shared" si="70"/>
        <v>-0.13999999999999702</v>
      </c>
      <c r="R793" s="128">
        <f t="shared" si="71"/>
        <v>0.21499999999999986</v>
      </c>
      <c r="S793" s="98">
        <v>0</v>
      </c>
      <c r="T793" s="99">
        <v>0</v>
      </c>
      <c r="U793" s="99">
        <v>0</v>
      </c>
      <c r="V793" s="99">
        <v>0</v>
      </c>
      <c r="W793" s="99">
        <v>0</v>
      </c>
    </row>
    <row r="794" spans="1:23" x14ac:dyDescent="0.3">
      <c r="A794" s="4">
        <v>2051</v>
      </c>
      <c r="B794">
        <v>-29.01</v>
      </c>
      <c r="C794">
        <v>-27.88</v>
      </c>
      <c r="D794">
        <v>-27.89</v>
      </c>
      <c r="E794">
        <v>-28.65</v>
      </c>
      <c r="H794">
        <v>-28.41</v>
      </c>
      <c r="J794" s="40" t="s">
        <v>18</v>
      </c>
      <c r="L794" s="32">
        <v>-0.75999999999999801</v>
      </c>
      <c r="M794" s="32">
        <v>-1.0000000000001563E-2</v>
      </c>
      <c r="N794" s="32">
        <v>1.1300000000000026</v>
      </c>
      <c r="O794" s="32">
        <v>0.17500000000000071</v>
      </c>
      <c r="P794" s="128">
        <f t="shared" si="69"/>
        <v>0.36000000000000298</v>
      </c>
      <c r="Q794" s="128">
        <f t="shared" si="70"/>
        <v>-0.76999999999999957</v>
      </c>
      <c r="R794" s="128">
        <f t="shared" si="71"/>
        <v>-0.20499999999999829</v>
      </c>
      <c r="S794" s="98">
        <v>0</v>
      </c>
      <c r="T794" s="99">
        <v>0</v>
      </c>
      <c r="U794" s="99">
        <v>0</v>
      </c>
      <c r="V794" s="99">
        <v>0</v>
      </c>
      <c r="W794" s="99">
        <v>0</v>
      </c>
    </row>
    <row r="795" spans="1:23" x14ac:dyDescent="0.3">
      <c r="A795" s="4">
        <v>2052</v>
      </c>
      <c r="B795">
        <v>-29.44</v>
      </c>
      <c r="C795">
        <v>-28.79</v>
      </c>
      <c r="D795">
        <v>-28.9</v>
      </c>
      <c r="E795">
        <v>-28.25</v>
      </c>
      <c r="H795">
        <v>-29.57</v>
      </c>
      <c r="J795" s="40" t="s">
        <v>18</v>
      </c>
      <c r="L795" s="32">
        <v>0.64999999999999858</v>
      </c>
      <c r="M795" s="32">
        <v>-0.10999999999999943</v>
      </c>
      <c r="N795" s="32">
        <v>0.65000000000000213</v>
      </c>
      <c r="O795" s="32">
        <v>0.5400000000000027</v>
      </c>
      <c r="P795" s="128">
        <f t="shared" si="69"/>
        <v>0.5400000000000027</v>
      </c>
      <c r="Q795" s="128">
        <f t="shared" si="70"/>
        <v>-0.10999999999999943</v>
      </c>
      <c r="R795" s="128">
        <f t="shared" si="71"/>
        <v>0.21500000000000341</v>
      </c>
      <c r="S795" s="98">
        <v>0</v>
      </c>
      <c r="T795" s="99">
        <v>0</v>
      </c>
      <c r="U795" s="99">
        <v>0</v>
      </c>
      <c r="V795" s="99">
        <v>0</v>
      </c>
      <c r="W795" s="99">
        <v>0</v>
      </c>
    </row>
    <row r="796" spans="1:23" x14ac:dyDescent="0.3">
      <c r="A796" s="4">
        <v>2053</v>
      </c>
      <c r="B796">
        <v>-28.86</v>
      </c>
      <c r="C796">
        <v>-28</v>
      </c>
      <c r="D796">
        <v>-28.38</v>
      </c>
      <c r="E796">
        <v>-28.36</v>
      </c>
      <c r="H796">
        <v>-28.25</v>
      </c>
      <c r="J796" s="40" t="s">
        <v>18</v>
      </c>
      <c r="L796" s="32">
        <v>1.9999999999999574E-2</v>
      </c>
      <c r="M796" s="32">
        <v>-0.37999999999999901</v>
      </c>
      <c r="N796" s="32">
        <v>0.85999999999999943</v>
      </c>
      <c r="O796" s="32">
        <v>6.0000000000002274E-2</v>
      </c>
      <c r="P796" s="128">
        <f t="shared" si="69"/>
        <v>0.48000000000000043</v>
      </c>
      <c r="Q796" s="128">
        <f t="shared" si="70"/>
        <v>-0.37999999999999901</v>
      </c>
      <c r="R796" s="128">
        <f t="shared" si="71"/>
        <v>5.0000000000000711E-2</v>
      </c>
      <c r="S796" s="98">
        <v>0</v>
      </c>
      <c r="T796" s="99">
        <v>0</v>
      </c>
      <c r="U796" s="99">
        <v>0</v>
      </c>
      <c r="V796" s="99">
        <v>0</v>
      </c>
      <c r="W796" s="99">
        <v>0</v>
      </c>
    </row>
    <row r="797" spans="1:23" x14ac:dyDescent="0.3">
      <c r="A797" s="4">
        <v>2054</v>
      </c>
      <c r="B797">
        <v>-29.57</v>
      </c>
      <c r="C797">
        <v>-28.25</v>
      </c>
      <c r="D797">
        <v>-27.94</v>
      </c>
      <c r="E797">
        <v>-28.49</v>
      </c>
      <c r="H797">
        <v>-28.91</v>
      </c>
      <c r="J797" s="40" t="s">
        <v>18</v>
      </c>
      <c r="L797" s="32">
        <v>-0.54999999999999716</v>
      </c>
      <c r="M797" s="32">
        <v>0.30999999999999872</v>
      </c>
      <c r="N797" s="32">
        <v>1.3200000000000003</v>
      </c>
      <c r="O797" s="32">
        <v>0.69500000000000028</v>
      </c>
      <c r="P797" s="128">
        <f t="shared" si="69"/>
        <v>1.0800000000000018</v>
      </c>
      <c r="Q797" s="128">
        <f t="shared" si="70"/>
        <v>-0.23999999999999844</v>
      </c>
      <c r="R797" s="128">
        <f t="shared" si="71"/>
        <v>0.42000000000000171</v>
      </c>
      <c r="S797" s="98">
        <v>0</v>
      </c>
      <c r="T797" s="99">
        <v>0</v>
      </c>
      <c r="U797" s="99">
        <v>0</v>
      </c>
      <c r="V797" s="99">
        <v>0</v>
      </c>
      <c r="W797" s="99">
        <v>0</v>
      </c>
    </row>
    <row r="798" spans="1:23" x14ac:dyDescent="0.3">
      <c r="A798" s="4">
        <v>2055</v>
      </c>
      <c r="B798">
        <v>-29.57</v>
      </c>
      <c r="C798">
        <v>-28.61</v>
      </c>
      <c r="D798">
        <v>-28.26</v>
      </c>
      <c r="E798">
        <v>-28.8</v>
      </c>
      <c r="H798">
        <v>-29.15</v>
      </c>
      <c r="J798" s="40" t="s">
        <v>18</v>
      </c>
      <c r="L798" s="32">
        <v>-0.53999999999999915</v>
      </c>
      <c r="M798" s="32">
        <v>0.34999999999999787</v>
      </c>
      <c r="N798" s="32">
        <v>0.96000000000000085</v>
      </c>
      <c r="O798" s="32">
        <v>0.55999999999999872</v>
      </c>
      <c r="P798" s="128">
        <f t="shared" si="69"/>
        <v>0.76999999999999957</v>
      </c>
      <c r="Q798" s="128">
        <f t="shared" si="70"/>
        <v>-0.19000000000000128</v>
      </c>
      <c r="R798" s="128">
        <f t="shared" si="71"/>
        <v>0.28999999999999915</v>
      </c>
      <c r="S798" s="98">
        <v>0</v>
      </c>
      <c r="T798" s="99">
        <v>0</v>
      </c>
      <c r="U798" s="99">
        <v>0</v>
      </c>
      <c r="V798" s="99">
        <v>0</v>
      </c>
      <c r="W798" s="99">
        <v>0</v>
      </c>
    </row>
    <row r="799" spans="1:23" x14ac:dyDescent="0.3">
      <c r="A799" s="4">
        <v>2056</v>
      </c>
      <c r="B799">
        <v>-29.62</v>
      </c>
      <c r="C799">
        <v>-28.52</v>
      </c>
      <c r="D799">
        <v>-28</v>
      </c>
      <c r="E799">
        <v>-28.6</v>
      </c>
      <c r="H799">
        <v>-29.21</v>
      </c>
      <c r="J799" s="40" t="s">
        <v>18</v>
      </c>
      <c r="L799" s="32">
        <v>-0.60000000000000142</v>
      </c>
      <c r="M799" s="32">
        <v>0.51999999999999957</v>
      </c>
      <c r="N799" s="32">
        <v>1.1000000000000014</v>
      </c>
      <c r="O799" s="32">
        <v>0.76999999999999957</v>
      </c>
      <c r="P799" s="128">
        <f t="shared" si="69"/>
        <v>1.0199999999999996</v>
      </c>
      <c r="Q799" s="128">
        <f t="shared" si="70"/>
        <v>-8.0000000000001847E-2</v>
      </c>
      <c r="R799" s="128">
        <f t="shared" si="71"/>
        <v>0.46999999999999886</v>
      </c>
      <c r="S799" s="98">
        <v>0</v>
      </c>
      <c r="T799" s="99">
        <v>0</v>
      </c>
      <c r="U799" s="99">
        <v>0</v>
      </c>
      <c r="V799" s="99">
        <v>0</v>
      </c>
      <c r="W799" s="99">
        <v>0</v>
      </c>
    </row>
    <row r="800" spans="1:23" x14ac:dyDescent="0.3">
      <c r="A800" s="4">
        <v>2057</v>
      </c>
      <c r="B800">
        <v>-30.45</v>
      </c>
      <c r="C800">
        <v>-28.59</v>
      </c>
      <c r="D800">
        <v>-28.46</v>
      </c>
      <c r="E800">
        <v>-28.98</v>
      </c>
      <c r="H800">
        <v>-30.15</v>
      </c>
      <c r="J800" s="40" t="s">
        <v>18</v>
      </c>
      <c r="L800" s="32">
        <v>-0.51999999999999957</v>
      </c>
      <c r="M800" s="32">
        <v>0.12999999999999901</v>
      </c>
      <c r="N800" s="32">
        <v>1.8599999999999994</v>
      </c>
      <c r="O800" s="32">
        <v>0.80000000000000071</v>
      </c>
      <c r="P800" s="128">
        <f t="shared" si="69"/>
        <v>1.4699999999999989</v>
      </c>
      <c r="Q800" s="128">
        <f t="shared" si="70"/>
        <v>-0.39000000000000057</v>
      </c>
      <c r="R800" s="128">
        <f t="shared" si="71"/>
        <v>0.53999999999999915</v>
      </c>
      <c r="S800" s="98">
        <v>0</v>
      </c>
      <c r="T800" s="99">
        <v>0</v>
      </c>
      <c r="U800" s="99">
        <v>0</v>
      </c>
      <c r="V800" s="99">
        <v>0</v>
      </c>
      <c r="W800" s="99">
        <v>0</v>
      </c>
    </row>
    <row r="801" spans="1:23" x14ac:dyDescent="0.3">
      <c r="A801" s="4">
        <v>2058</v>
      </c>
      <c r="B801">
        <v>-30.31</v>
      </c>
      <c r="C801">
        <v>-28.17</v>
      </c>
      <c r="D801">
        <v>-28.25</v>
      </c>
      <c r="E801">
        <v>-28.69</v>
      </c>
      <c r="H801">
        <v>-28.76</v>
      </c>
      <c r="J801" s="40" t="s">
        <v>18</v>
      </c>
      <c r="L801" s="32">
        <v>-0.44000000000000128</v>
      </c>
      <c r="M801" s="32">
        <v>-7.9999999999998295E-2</v>
      </c>
      <c r="N801" s="32">
        <v>2.139999999999997</v>
      </c>
      <c r="O801" s="32">
        <v>0.77000000000000313</v>
      </c>
      <c r="P801" s="128">
        <f t="shared" si="69"/>
        <v>1.6199999999999974</v>
      </c>
      <c r="Q801" s="128">
        <f t="shared" si="70"/>
        <v>-0.51999999999999957</v>
      </c>
      <c r="R801" s="128">
        <f t="shared" si="71"/>
        <v>0.55000000000000071</v>
      </c>
      <c r="S801" s="98">
        <v>0</v>
      </c>
      <c r="T801" s="99">
        <v>0</v>
      </c>
      <c r="U801" s="99">
        <v>0</v>
      </c>
      <c r="V801" s="99">
        <v>0</v>
      </c>
      <c r="W801" s="99">
        <v>1</v>
      </c>
    </row>
    <row r="802" spans="1:23" x14ac:dyDescent="0.3">
      <c r="A802" s="4">
        <v>2059</v>
      </c>
      <c r="B802">
        <v>-32.799999999999997</v>
      </c>
      <c r="C802">
        <v>-32.799999999999997</v>
      </c>
      <c r="D802">
        <v>-32.200000000000003</v>
      </c>
      <c r="H802">
        <v>-33.700000000000003</v>
      </c>
      <c r="J802" s="40" t="s">
        <v>18</v>
      </c>
      <c r="L802" s="32">
        <v>32.200000000000003</v>
      </c>
      <c r="M802" s="32">
        <v>0.59999999999999432</v>
      </c>
      <c r="N802" s="32">
        <v>0</v>
      </c>
      <c r="O802" s="32">
        <v>0.59999999999999432</v>
      </c>
      <c r="P802" s="128" t="str">
        <f t="shared" si="69"/>
        <v/>
      </c>
      <c r="Q802" s="128" t="str">
        <f t="shared" si="70"/>
        <v/>
      </c>
      <c r="R802" s="128" t="str">
        <f t="shared" si="71"/>
        <v/>
      </c>
      <c r="T802" s="99">
        <v>0</v>
      </c>
      <c r="U802" s="99">
        <v>0</v>
      </c>
      <c r="V802" s="99">
        <v>0</v>
      </c>
    </row>
    <row r="803" spans="1:23" x14ac:dyDescent="0.3">
      <c r="A803" s="4">
        <v>2060</v>
      </c>
      <c r="B803">
        <v>-32.700000000000003</v>
      </c>
      <c r="C803">
        <v>-33.200000000000003</v>
      </c>
      <c r="D803">
        <v>-32.799999999999997</v>
      </c>
      <c r="H803">
        <v>-33.4</v>
      </c>
      <c r="J803" s="40" t="s">
        <v>18</v>
      </c>
      <c r="L803" s="32">
        <v>32.799999999999997</v>
      </c>
      <c r="M803" s="32">
        <v>0.40000000000000568</v>
      </c>
      <c r="N803" s="32">
        <v>-0.5</v>
      </c>
      <c r="O803" s="32">
        <v>0.15000000000000568</v>
      </c>
      <c r="P803" s="128" t="str">
        <f t="shared" si="69"/>
        <v/>
      </c>
      <c r="Q803" s="128" t="str">
        <f t="shared" si="70"/>
        <v/>
      </c>
      <c r="R803" s="128" t="str">
        <f t="shared" si="71"/>
        <v/>
      </c>
      <c r="T803" s="99">
        <v>1</v>
      </c>
      <c r="U803" s="99">
        <v>1</v>
      </c>
      <c r="V803" s="99">
        <v>1</v>
      </c>
    </row>
    <row r="804" spans="1:23" x14ac:dyDescent="0.3">
      <c r="A804" s="4">
        <v>2061</v>
      </c>
      <c r="B804">
        <v>-33.1</v>
      </c>
      <c r="C804">
        <v>-33.299999999999997</v>
      </c>
      <c r="D804">
        <v>-32.799999999999997</v>
      </c>
      <c r="H804">
        <v>-33.1</v>
      </c>
      <c r="J804" s="40" t="s">
        <v>18</v>
      </c>
      <c r="L804" s="32">
        <v>32.799999999999997</v>
      </c>
      <c r="M804" s="32">
        <v>0.5</v>
      </c>
      <c r="N804" s="32">
        <v>-0.19999999999999574</v>
      </c>
      <c r="O804" s="32">
        <v>0.40000000000000568</v>
      </c>
      <c r="P804" s="128" t="str">
        <f t="shared" si="69"/>
        <v/>
      </c>
      <c r="Q804" s="128" t="str">
        <f t="shared" si="70"/>
        <v/>
      </c>
      <c r="R804" s="128" t="str">
        <f t="shared" si="71"/>
        <v/>
      </c>
      <c r="T804" s="99">
        <v>1</v>
      </c>
      <c r="U804" s="99">
        <v>1</v>
      </c>
      <c r="V804" s="99">
        <v>1</v>
      </c>
    </row>
    <row r="805" spans="1:23" x14ac:dyDescent="0.3">
      <c r="A805" s="4">
        <v>2062</v>
      </c>
      <c r="B805">
        <v>-32.299999999999997</v>
      </c>
      <c r="C805">
        <v>-32.9</v>
      </c>
      <c r="D805">
        <v>-33.4</v>
      </c>
      <c r="H805">
        <v>-32.4</v>
      </c>
      <c r="J805" s="40" t="s">
        <v>18</v>
      </c>
      <c r="L805" s="32">
        <v>33.4</v>
      </c>
      <c r="M805" s="32">
        <v>-0.5</v>
      </c>
      <c r="N805" s="32">
        <v>-0.60000000000000142</v>
      </c>
      <c r="O805" s="32">
        <v>-0.80000000000000426</v>
      </c>
      <c r="P805" s="128" t="str">
        <f t="shared" si="69"/>
        <v/>
      </c>
      <c r="Q805" s="128" t="str">
        <f t="shared" si="70"/>
        <v/>
      </c>
      <c r="R805" s="128" t="str">
        <f t="shared" si="71"/>
        <v/>
      </c>
      <c r="T805" s="99">
        <v>1</v>
      </c>
      <c r="U805" s="99">
        <v>1</v>
      </c>
      <c r="V805" s="99">
        <v>1</v>
      </c>
    </row>
    <row r="806" spans="1:23" x14ac:dyDescent="0.3">
      <c r="A806" s="4">
        <v>2063</v>
      </c>
      <c r="B806">
        <v>-33.6</v>
      </c>
      <c r="C806">
        <v>-33.4</v>
      </c>
      <c r="D806">
        <v>-33.200000000000003</v>
      </c>
      <c r="H806">
        <v>-33.700000000000003</v>
      </c>
      <c r="J806" s="40" t="s">
        <v>18</v>
      </c>
      <c r="L806" s="32">
        <v>33.200000000000003</v>
      </c>
      <c r="M806" s="32">
        <v>0.19999999999999574</v>
      </c>
      <c r="N806" s="32">
        <v>0.20000000000000284</v>
      </c>
      <c r="O806" s="32">
        <v>0.29999999999999716</v>
      </c>
      <c r="P806" s="128" t="str">
        <f t="shared" si="69"/>
        <v/>
      </c>
      <c r="Q806" s="128" t="str">
        <f t="shared" si="70"/>
        <v/>
      </c>
      <c r="R806" s="128" t="str">
        <f t="shared" si="71"/>
        <v/>
      </c>
      <c r="T806" s="99">
        <v>0</v>
      </c>
      <c r="U806" s="99">
        <v>0</v>
      </c>
      <c r="V806" s="99">
        <v>0</v>
      </c>
    </row>
    <row r="807" spans="1:23" x14ac:dyDescent="0.3">
      <c r="A807" s="4">
        <v>2064</v>
      </c>
      <c r="B807">
        <v>-30.4</v>
      </c>
      <c r="C807">
        <v>-32.799999999999997</v>
      </c>
      <c r="D807" t="str">
        <f>IF(AND(ISBLANK(F807),ISBLANK(G807)),"",IF(ISBLANK(F807),G807,IF(ISBLANK(G807),F807,(G807+F807)/2)))</f>
        <v/>
      </c>
      <c r="H807">
        <v>-31.9</v>
      </c>
      <c r="J807" s="40" t="s">
        <v>18</v>
      </c>
      <c r="L807" s="32" t="e">
        <v>#VALUE!</v>
      </c>
      <c r="M807" s="32" t="e">
        <v>#VALUE!</v>
      </c>
      <c r="N807" s="32">
        <v>-2.3999999999999986</v>
      </c>
      <c r="O807" s="32" t="e">
        <v>#DIV/0!</v>
      </c>
      <c r="P807" s="128" t="str">
        <f t="shared" si="69"/>
        <v/>
      </c>
      <c r="Q807" s="128" t="str">
        <f t="shared" si="70"/>
        <v/>
      </c>
      <c r="R807" s="128" t="str">
        <f t="shared" si="71"/>
        <v/>
      </c>
    </row>
    <row r="808" spans="1:23" x14ac:dyDescent="0.3">
      <c r="A808" s="4">
        <v>2065</v>
      </c>
      <c r="B808">
        <v>-34.1</v>
      </c>
      <c r="C808">
        <v>-33.799999999999997</v>
      </c>
      <c r="D808">
        <v>-34.6</v>
      </c>
      <c r="H808">
        <v>-34.299999999999997</v>
      </c>
      <c r="J808" s="40" t="s">
        <v>18</v>
      </c>
      <c r="L808" s="32">
        <v>34.6</v>
      </c>
      <c r="M808" s="32">
        <v>-0.80000000000000426</v>
      </c>
      <c r="N808" s="32">
        <v>0.30000000000000426</v>
      </c>
      <c r="O808" s="32">
        <v>-0.64999999999999858</v>
      </c>
      <c r="P808" s="128" t="str">
        <f t="shared" si="69"/>
        <v/>
      </c>
      <c r="Q808" s="128" t="str">
        <f t="shared" si="70"/>
        <v/>
      </c>
      <c r="R808" s="128" t="str">
        <f t="shared" si="71"/>
        <v/>
      </c>
      <c r="T808" s="99">
        <v>0</v>
      </c>
      <c r="U808" s="99">
        <v>0</v>
      </c>
      <c r="V808" s="99">
        <v>0</v>
      </c>
    </row>
    <row r="809" spans="1:23" x14ac:dyDescent="0.3">
      <c r="A809" s="4">
        <v>2066</v>
      </c>
      <c r="B809">
        <v>-34.6</v>
      </c>
      <c r="C809">
        <v>-34.6</v>
      </c>
      <c r="D809">
        <v>-34.1</v>
      </c>
      <c r="H809">
        <v>-34.200000000000003</v>
      </c>
      <c r="J809" s="40" t="s">
        <v>18</v>
      </c>
      <c r="L809" s="32">
        <v>34.1</v>
      </c>
      <c r="M809" s="32">
        <v>0.5</v>
      </c>
      <c r="N809" s="32">
        <v>0</v>
      </c>
      <c r="O809" s="32">
        <v>0.5</v>
      </c>
      <c r="P809" s="128" t="str">
        <f t="shared" si="69"/>
        <v/>
      </c>
      <c r="Q809" s="128" t="str">
        <f t="shared" si="70"/>
        <v/>
      </c>
      <c r="R809" s="128" t="str">
        <f t="shared" si="71"/>
        <v/>
      </c>
      <c r="T809" s="99">
        <v>1</v>
      </c>
      <c r="U809" s="99">
        <v>1</v>
      </c>
      <c r="V809" s="99">
        <v>1</v>
      </c>
    </row>
    <row r="810" spans="1:23" x14ac:dyDescent="0.3">
      <c r="A810" s="4">
        <v>2067</v>
      </c>
      <c r="B810">
        <v>-33.700000000000003</v>
      </c>
      <c r="C810">
        <v>-34.1</v>
      </c>
      <c r="D810">
        <v>-34.9</v>
      </c>
      <c r="H810">
        <v>-33.5</v>
      </c>
      <c r="J810" s="40" t="s">
        <v>18</v>
      </c>
      <c r="L810" s="32">
        <v>34.9</v>
      </c>
      <c r="M810" s="32">
        <v>-0.79999999999999716</v>
      </c>
      <c r="N810" s="32">
        <v>-0.39999999999999858</v>
      </c>
      <c r="O810" s="32">
        <v>-0.99999999999999289</v>
      </c>
      <c r="P810" s="128" t="str">
        <f t="shared" si="69"/>
        <v/>
      </c>
      <c r="Q810" s="128" t="str">
        <f t="shared" si="70"/>
        <v/>
      </c>
      <c r="R810" s="128" t="str">
        <f t="shared" si="71"/>
        <v/>
      </c>
      <c r="T810" s="99">
        <v>1</v>
      </c>
      <c r="U810" s="99">
        <v>1</v>
      </c>
      <c r="V810" s="99">
        <v>1</v>
      </c>
    </row>
    <row r="811" spans="1:23" x14ac:dyDescent="0.3">
      <c r="A811" s="4">
        <v>2068</v>
      </c>
      <c r="B811">
        <v>-33.299999999999997</v>
      </c>
      <c r="C811">
        <v>-33.9</v>
      </c>
      <c r="D811">
        <v>-33.200000000000003</v>
      </c>
      <c r="H811">
        <v>-34</v>
      </c>
      <c r="J811" s="40" t="s">
        <v>18</v>
      </c>
      <c r="L811" s="32">
        <v>33.200000000000003</v>
      </c>
      <c r="M811" s="32">
        <v>0.69999999999999574</v>
      </c>
      <c r="N811" s="32">
        <v>-0.60000000000000142</v>
      </c>
      <c r="O811" s="32">
        <v>0.39999999999999147</v>
      </c>
      <c r="P811" s="128" t="str">
        <f t="shared" si="69"/>
        <v/>
      </c>
      <c r="Q811" s="128" t="str">
        <f t="shared" si="70"/>
        <v/>
      </c>
      <c r="R811" s="128" t="str">
        <f t="shared" si="71"/>
        <v/>
      </c>
      <c r="T811" s="99">
        <v>1</v>
      </c>
      <c r="U811" s="99">
        <v>1</v>
      </c>
      <c r="V811" s="99">
        <v>1</v>
      </c>
    </row>
    <row r="812" spans="1:23" x14ac:dyDescent="0.3">
      <c r="A812" s="4">
        <v>2069</v>
      </c>
      <c r="B812">
        <v>-30.6</v>
      </c>
      <c r="C812">
        <v>-30.4</v>
      </c>
      <c r="D812" t="str">
        <f>IF(AND(ISBLANK(F812),ISBLANK(G812)),"",IF(ISBLANK(F812),G812,IF(ISBLANK(G812),F812,(G812+F812)/2)))</f>
        <v/>
      </c>
      <c r="H812">
        <v>-34.1</v>
      </c>
      <c r="J812" s="40" t="s">
        <v>18</v>
      </c>
      <c r="L812" s="32" t="e">
        <v>#VALUE!</v>
      </c>
      <c r="M812" s="32" t="e">
        <v>#VALUE!</v>
      </c>
      <c r="N812" s="32">
        <v>0.20000000000000284</v>
      </c>
      <c r="O812" s="32" t="e">
        <v>#DIV/0!</v>
      </c>
      <c r="P812" s="128" t="str">
        <f t="shared" si="69"/>
        <v/>
      </c>
      <c r="Q812" s="128" t="str">
        <f t="shared" si="70"/>
        <v/>
      </c>
      <c r="R812" s="128" t="str">
        <f t="shared" si="71"/>
        <v/>
      </c>
    </row>
    <row r="813" spans="1:23" x14ac:dyDescent="0.3">
      <c r="A813" s="4">
        <v>2070</v>
      </c>
      <c r="B813">
        <v>-33.1</v>
      </c>
      <c r="C813">
        <v>-33.299999999999997</v>
      </c>
      <c r="D813">
        <v>-33.9</v>
      </c>
      <c r="H813">
        <v>-33.4</v>
      </c>
      <c r="J813" s="40" t="s">
        <v>18</v>
      </c>
      <c r="L813" s="32">
        <v>33.9</v>
      </c>
      <c r="M813" s="32">
        <v>-0.60000000000000142</v>
      </c>
      <c r="N813" s="32">
        <v>-0.19999999999999574</v>
      </c>
      <c r="O813" s="32">
        <v>-0.69999999999999574</v>
      </c>
      <c r="P813" s="128" t="str">
        <f t="shared" si="69"/>
        <v/>
      </c>
      <c r="Q813" s="128" t="str">
        <f t="shared" si="70"/>
        <v/>
      </c>
      <c r="R813" s="128" t="str">
        <f t="shared" si="71"/>
        <v/>
      </c>
      <c r="T813" s="99">
        <v>1</v>
      </c>
      <c r="U813" s="99">
        <v>1</v>
      </c>
      <c r="V813" s="99">
        <v>1</v>
      </c>
    </row>
    <row r="814" spans="1:23" x14ac:dyDescent="0.3">
      <c r="A814" s="4">
        <v>2071</v>
      </c>
      <c r="B814">
        <v>-34.200000000000003</v>
      </c>
      <c r="C814">
        <v>-33.9</v>
      </c>
      <c r="D814">
        <v>-34</v>
      </c>
      <c r="H814">
        <v>-34.1</v>
      </c>
      <c r="J814" s="40" t="s">
        <v>18</v>
      </c>
      <c r="L814" s="32">
        <v>34</v>
      </c>
      <c r="M814" s="32">
        <v>-0.10000000000000142</v>
      </c>
      <c r="N814" s="32">
        <v>0.30000000000000426</v>
      </c>
      <c r="O814" s="32">
        <v>4.9999999999997158E-2</v>
      </c>
      <c r="P814" s="128" t="str">
        <f t="shared" si="69"/>
        <v/>
      </c>
      <c r="Q814" s="128" t="str">
        <f t="shared" si="70"/>
        <v/>
      </c>
      <c r="R814" s="128" t="str">
        <f t="shared" si="71"/>
        <v/>
      </c>
      <c r="T814" s="99">
        <v>0</v>
      </c>
      <c r="U814" s="99">
        <v>0</v>
      </c>
      <c r="V814" s="99">
        <v>0</v>
      </c>
    </row>
    <row r="815" spans="1:23" x14ac:dyDescent="0.3">
      <c r="A815" s="4">
        <v>2072</v>
      </c>
      <c r="B815">
        <v>-32.9</v>
      </c>
      <c r="C815">
        <v>-33.6</v>
      </c>
      <c r="D815" t="str">
        <f>IF(AND(ISBLANK(F815),ISBLANK(G815)),"",IF(ISBLANK(F815),G815,IF(ISBLANK(G815),F815,(G815+F815)/2)))</f>
        <v/>
      </c>
      <c r="H815">
        <v>-33.4</v>
      </c>
      <c r="J815" s="40" t="s">
        <v>18</v>
      </c>
      <c r="L815" s="32" t="e">
        <v>#VALUE!</v>
      </c>
      <c r="M815" s="32" t="e">
        <v>#VALUE!</v>
      </c>
      <c r="N815" s="32">
        <v>-0.70000000000000284</v>
      </c>
      <c r="O815" s="32" t="e">
        <v>#DIV/0!</v>
      </c>
      <c r="P815" s="128" t="str">
        <f t="shared" si="69"/>
        <v/>
      </c>
      <c r="Q815" s="128" t="str">
        <f t="shared" si="70"/>
        <v/>
      </c>
      <c r="R815" s="128" t="str">
        <f t="shared" si="71"/>
        <v/>
      </c>
    </row>
    <row r="816" spans="1:23" x14ac:dyDescent="0.3">
      <c r="A816" s="4">
        <v>2073</v>
      </c>
      <c r="B816">
        <v>-35</v>
      </c>
      <c r="C816">
        <v>-35</v>
      </c>
      <c r="D816">
        <v>-34.9</v>
      </c>
      <c r="E816">
        <v>-35.4</v>
      </c>
      <c r="H816">
        <v>-35.200000000000003</v>
      </c>
      <c r="J816" s="40" t="s">
        <v>18</v>
      </c>
      <c r="L816" s="32">
        <v>-0.5</v>
      </c>
      <c r="M816" s="32">
        <v>0.10000000000000142</v>
      </c>
      <c r="N816" s="32">
        <v>0</v>
      </c>
      <c r="O816" s="32">
        <v>-0.14999999999999858</v>
      </c>
      <c r="P816" s="128">
        <f t="shared" si="69"/>
        <v>-0.39999999999999858</v>
      </c>
      <c r="Q816" s="128">
        <f t="shared" si="70"/>
        <v>-0.39999999999999858</v>
      </c>
      <c r="R816" s="128">
        <f t="shared" si="71"/>
        <v>-0.39999999999999858</v>
      </c>
      <c r="S816" s="98">
        <v>0</v>
      </c>
      <c r="T816" s="99">
        <v>0</v>
      </c>
      <c r="U816" s="99">
        <v>0</v>
      </c>
      <c r="V816" s="99">
        <v>0</v>
      </c>
      <c r="W816" s="99">
        <v>0</v>
      </c>
    </row>
    <row r="817" spans="1:23" x14ac:dyDescent="0.3">
      <c r="A817" s="4">
        <v>2074</v>
      </c>
      <c r="B817">
        <v>-36</v>
      </c>
      <c r="C817">
        <v>-35.799999999999997</v>
      </c>
      <c r="D817">
        <v>-35.5</v>
      </c>
      <c r="E817">
        <v>-36.200000000000003</v>
      </c>
      <c r="H817">
        <v>-36</v>
      </c>
      <c r="J817" s="40" t="s">
        <v>18</v>
      </c>
      <c r="L817" s="32">
        <v>-0.70000000000000284</v>
      </c>
      <c r="M817" s="32">
        <v>0.29999999999999716</v>
      </c>
      <c r="N817" s="32">
        <v>0.20000000000000284</v>
      </c>
      <c r="O817" s="32">
        <v>4.9999999999997158E-2</v>
      </c>
      <c r="P817" s="128">
        <f t="shared" si="69"/>
        <v>-0.20000000000000284</v>
      </c>
      <c r="Q817" s="128">
        <f t="shared" si="70"/>
        <v>-0.40000000000000568</v>
      </c>
      <c r="R817" s="128">
        <f t="shared" si="71"/>
        <v>-0.30000000000000426</v>
      </c>
      <c r="S817" s="98">
        <v>0</v>
      </c>
      <c r="T817" s="99">
        <v>0</v>
      </c>
      <c r="U817" s="99">
        <v>0</v>
      </c>
      <c r="V817" s="99">
        <v>0</v>
      </c>
      <c r="W817" s="99">
        <v>0</v>
      </c>
    </row>
    <row r="818" spans="1:23" x14ac:dyDescent="0.3">
      <c r="A818" s="4">
        <v>2075</v>
      </c>
      <c r="B818">
        <v>-35.5</v>
      </c>
      <c r="C818">
        <v>-35.799999999999997</v>
      </c>
      <c r="D818">
        <v>-35.700000000000003</v>
      </c>
      <c r="E818">
        <v>-35.6</v>
      </c>
      <c r="H818">
        <v>-35.4</v>
      </c>
      <c r="J818" s="40" t="s">
        <v>18</v>
      </c>
      <c r="L818" s="32">
        <v>0.10000000000000142</v>
      </c>
      <c r="M818" s="32">
        <v>9.9999999999994316E-2</v>
      </c>
      <c r="N818" s="32">
        <v>-0.29999999999999716</v>
      </c>
      <c r="O818" s="32">
        <v>0</v>
      </c>
      <c r="P818" s="128">
        <f t="shared" si="69"/>
        <v>9.9999999999994316E-2</v>
      </c>
      <c r="Q818" s="128">
        <f t="shared" si="70"/>
        <v>-0.20000000000000284</v>
      </c>
      <c r="R818" s="128">
        <f t="shared" si="71"/>
        <v>-5.0000000000004263E-2</v>
      </c>
      <c r="S818" s="98">
        <v>0</v>
      </c>
      <c r="T818" s="99">
        <v>1</v>
      </c>
      <c r="U818" s="99">
        <v>1</v>
      </c>
      <c r="V818" s="99">
        <v>1</v>
      </c>
      <c r="W818" s="99">
        <v>0</v>
      </c>
    </row>
    <row r="819" spans="1:23" x14ac:dyDescent="0.3">
      <c r="A819" s="4">
        <v>2076</v>
      </c>
      <c r="B819">
        <v>-33.9</v>
      </c>
      <c r="C819">
        <v>-34.700000000000003</v>
      </c>
      <c r="D819">
        <v>-35</v>
      </c>
      <c r="H819">
        <v>-34.700000000000003</v>
      </c>
      <c r="J819" s="40" t="s">
        <v>18</v>
      </c>
      <c r="L819" s="32">
        <v>35</v>
      </c>
      <c r="M819" s="32">
        <v>-0.29999999999999716</v>
      </c>
      <c r="N819" s="32">
        <v>-0.80000000000000426</v>
      </c>
      <c r="O819" s="32">
        <v>-0.70000000000000284</v>
      </c>
      <c r="P819" s="128" t="str">
        <f t="shared" si="69"/>
        <v/>
      </c>
      <c r="Q819" s="128" t="str">
        <f t="shared" si="70"/>
        <v/>
      </c>
      <c r="R819" s="128" t="str">
        <f t="shared" si="71"/>
        <v/>
      </c>
      <c r="T819" s="99">
        <v>1</v>
      </c>
      <c r="U819" s="99">
        <v>1</v>
      </c>
      <c r="V819" s="99">
        <v>1</v>
      </c>
    </row>
    <row r="820" spans="1:23" x14ac:dyDescent="0.3">
      <c r="A820" s="4">
        <v>2077</v>
      </c>
      <c r="B820">
        <v>-34</v>
      </c>
      <c r="C820">
        <v>-34.5</v>
      </c>
      <c r="D820">
        <v>-34.4</v>
      </c>
      <c r="E820">
        <v>-33.6</v>
      </c>
      <c r="H820">
        <v>-34.700000000000003</v>
      </c>
      <c r="J820" s="40" t="s">
        <v>18</v>
      </c>
      <c r="L820" s="32">
        <v>0.79999999999999716</v>
      </c>
      <c r="M820" s="32">
        <v>0.10000000000000142</v>
      </c>
      <c r="N820" s="32">
        <v>-0.5</v>
      </c>
      <c r="O820" s="32">
        <v>0.25</v>
      </c>
      <c r="P820" s="128">
        <f t="shared" si="69"/>
        <v>0.10000000000000142</v>
      </c>
      <c r="Q820" s="128">
        <f t="shared" si="70"/>
        <v>-0.39999999999999858</v>
      </c>
      <c r="R820" s="128">
        <f t="shared" si="71"/>
        <v>-0.14999999999999858</v>
      </c>
      <c r="S820" s="98">
        <v>0</v>
      </c>
      <c r="T820" s="99">
        <v>1</v>
      </c>
      <c r="U820" s="99">
        <v>1</v>
      </c>
      <c r="V820" s="99">
        <v>1</v>
      </c>
      <c r="W820" s="99">
        <v>0</v>
      </c>
    </row>
    <row r="821" spans="1:23" x14ac:dyDescent="0.3">
      <c r="A821" s="4">
        <v>2078</v>
      </c>
      <c r="B821">
        <v>-34.299999999999997</v>
      </c>
      <c r="C821">
        <v>-35.5</v>
      </c>
      <c r="D821" t="str">
        <f>IF(AND(ISBLANK(F821),ISBLANK(G821)),"",IF(ISBLANK(F821),G821,IF(ISBLANK(G821),F821,(G821+F821)/2)))</f>
        <v/>
      </c>
      <c r="H821">
        <v>-35.700000000000003</v>
      </c>
      <c r="J821" s="40" t="s">
        <v>18</v>
      </c>
      <c r="L821" s="32" t="e">
        <v>#VALUE!</v>
      </c>
      <c r="M821" s="32" t="e">
        <v>#VALUE!</v>
      </c>
      <c r="N821" s="32">
        <v>-1.2000000000000028</v>
      </c>
      <c r="O821" s="32" t="e">
        <v>#DIV/0!</v>
      </c>
      <c r="P821" s="128" t="str">
        <f t="shared" si="69"/>
        <v/>
      </c>
      <c r="Q821" s="128" t="str">
        <f t="shared" si="70"/>
        <v/>
      </c>
      <c r="R821" s="128" t="str">
        <f t="shared" si="71"/>
        <v/>
      </c>
    </row>
    <row r="822" spans="1:23" x14ac:dyDescent="0.3">
      <c r="A822" s="4">
        <v>2079</v>
      </c>
      <c r="B822">
        <v>-34.5</v>
      </c>
      <c r="C822">
        <v>-33.9</v>
      </c>
      <c r="D822">
        <v>-33.4</v>
      </c>
      <c r="H822">
        <v>-34</v>
      </c>
      <c r="J822" s="40" t="s">
        <v>18</v>
      </c>
      <c r="L822" s="32">
        <v>33.4</v>
      </c>
      <c r="M822" s="32">
        <v>0.5</v>
      </c>
      <c r="N822" s="32">
        <v>0.60000000000000142</v>
      </c>
      <c r="O822" s="32">
        <v>0.80000000000000426</v>
      </c>
      <c r="P822" s="128" t="str">
        <f t="shared" si="69"/>
        <v/>
      </c>
      <c r="Q822" s="128" t="str">
        <f t="shared" si="70"/>
        <v/>
      </c>
      <c r="R822" s="128" t="str">
        <f t="shared" si="71"/>
        <v/>
      </c>
      <c r="T822" s="99">
        <v>0</v>
      </c>
      <c r="U822" s="99">
        <v>0</v>
      </c>
      <c r="V822" s="99">
        <v>0</v>
      </c>
    </row>
    <row r="823" spans="1:23" x14ac:dyDescent="0.3">
      <c r="A823" s="4">
        <v>2080</v>
      </c>
      <c r="B823">
        <v>-34</v>
      </c>
      <c r="C823">
        <v>-33.799999999999997</v>
      </c>
      <c r="D823" t="str">
        <f>IF(AND(ISBLANK(F823),ISBLANK(G823)),"",IF(ISBLANK(F823),G823,IF(ISBLANK(G823),F823,(G823+F823)/2)))</f>
        <v/>
      </c>
      <c r="H823">
        <v>-33.700000000000003</v>
      </c>
      <c r="J823" s="40" t="s">
        <v>18</v>
      </c>
      <c r="L823" s="32" t="e">
        <v>#VALUE!</v>
      </c>
      <c r="M823" s="32" t="e">
        <v>#VALUE!</v>
      </c>
      <c r="N823" s="32">
        <v>0.20000000000000284</v>
      </c>
      <c r="O823" s="32" t="e">
        <v>#DIV/0!</v>
      </c>
      <c r="P823" s="128" t="str">
        <f t="shared" si="69"/>
        <v/>
      </c>
      <c r="Q823" s="128" t="str">
        <f t="shared" si="70"/>
        <v/>
      </c>
      <c r="R823" s="128" t="str">
        <f t="shared" si="71"/>
        <v/>
      </c>
      <c r="T823" s="99">
        <v>0</v>
      </c>
      <c r="U823" s="99">
        <v>0</v>
      </c>
      <c r="V823" s="99">
        <v>0</v>
      </c>
    </row>
    <row r="824" spans="1:23" x14ac:dyDescent="0.3">
      <c r="A824" s="4">
        <v>2081</v>
      </c>
      <c r="B824">
        <v>-34.6</v>
      </c>
      <c r="C824">
        <v>-34.5</v>
      </c>
      <c r="D824">
        <v>-34.4</v>
      </c>
      <c r="H824">
        <v>-34.5</v>
      </c>
      <c r="J824" s="40" t="s">
        <v>18</v>
      </c>
      <c r="L824" s="32">
        <v>34.4</v>
      </c>
      <c r="M824" s="32">
        <v>0.10000000000000142</v>
      </c>
      <c r="N824" s="32">
        <v>0.10000000000000142</v>
      </c>
      <c r="O824" s="32">
        <v>0.14999999999999858</v>
      </c>
      <c r="P824" s="128" t="str">
        <f t="shared" si="69"/>
        <v/>
      </c>
      <c r="Q824" s="128" t="str">
        <f t="shared" si="70"/>
        <v/>
      </c>
      <c r="R824" s="128" t="str">
        <f t="shared" si="71"/>
        <v/>
      </c>
      <c r="T824" s="99">
        <v>0</v>
      </c>
      <c r="U824" s="99">
        <v>0</v>
      </c>
      <c r="V824" s="99">
        <v>0</v>
      </c>
    </row>
    <row r="825" spans="1:23" x14ac:dyDescent="0.3">
      <c r="A825" s="4">
        <v>2082</v>
      </c>
      <c r="B825">
        <v>-34.799999999999997</v>
      </c>
      <c r="C825">
        <v>-35.5</v>
      </c>
      <c r="D825">
        <v>-34.799999999999997</v>
      </c>
      <c r="H825">
        <v>-34.299999999999997</v>
      </c>
      <c r="J825" s="40" t="s">
        <v>18</v>
      </c>
      <c r="L825" s="32">
        <v>34.799999999999997</v>
      </c>
      <c r="M825" s="32">
        <v>0.70000000000000284</v>
      </c>
      <c r="N825" s="32">
        <v>-0.70000000000000284</v>
      </c>
      <c r="O825" s="32">
        <v>0.35000000000000142</v>
      </c>
      <c r="P825" s="128" t="str">
        <f t="shared" si="69"/>
        <v/>
      </c>
      <c r="Q825" s="128" t="str">
        <f t="shared" si="70"/>
        <v/>
      </c>
      <c r="R825" s="128" t="str">
        <f t="shared" si="71"/>
        <v/>
      </c>
      <c r="T825" s="99">
        <v>1</v>
      </c>
      <c r="U825" s="99">
        <v>1</v>
      </c>
      <c r="V825" s="99">
        <v>1</v>
      </c>
    </row>
    <row r="826" spans="1:23" x14ac:dyDescent="0.3">
      <c r="A826" s="4">
        <v>2083</v>
      </c>
      <c r="B826">
        <v>-35.6</v>
      </c>
      <c r="C826">
        <v>-35.9</v>
      </c>
      <c r="D826">
        <v>-35.4</v>
      </c>
      <c r="E826">
        <v>-34.799999999999997</v>
      </c>
      <c r="H826">
        <v>-35.1</v>
      </c>
      <c r="J826" s="40" t="s">
        <v>18</v>
      </c>
      <c r="L826" s="32">
        <v>0.60000000000000142</v>
      </c>
      <c r="M826" s="32">
        <v>0.5</v>
      </c>
      <c r="N826" s="32">
        <v>-0.29999999999999716</v>
      </c>
      <c r="O826" s="32">
        <v>0.65000000000000568</v>
      </c>
      <c r="P826" s="128">
        <f t="shared" si="69"/>
        <v>0.5</v>
      </c>
      <c r="Q826" s="128">
        <f t="shared" si="70"/>
        <v>0.20000000000000284</v>
      </c>
      <c r="R826" s="128">
        <f t="shared" si="71"/>
        <v>0.35000000000000142</v>
      </c>
      <c r="S826" s="98">
        <v>0</v>
      </c>
      <c r="T826" s="99">
        <v>1</v>
      </c>
      <c r="U826" s="99">
        <v>1</v>
      </c>
      <c r="V826" s="99">
        <v>1</v>
      </c>
    </row>
    <row r="827" spans="1:23" x14ac:dyDescent="0.3">
      <c r="A827" s="4">
        <v>2084</v>
      </c>
      <c r="B827">
        <v>-35.299999999999997</v>
      </c>
      <c r="C827">
        <v>-34.9</v>
      </c>
      <c r="D827">
        <v>-34.799999999999997</v>
      </c>
      <c r="H827">
        <v>-34.9</v>
      </c>
      <c r="J827" s="40" t="s">
        <v>18</v>
      </c>
      <c r="L827" s="32">
        <v>34.799999999999997</v>
      </c>
      <c r="M827" s="32">
        <v>0.10000000000000142</v>
      </c>
      <c r="N827" s="32">
        <v>0.39999999999999858</v>
      </c>
      <c r="O827" s="32">
        <v>0.29999999999999716</v>
      </c>
      <c r="P827" s="128" t="str">
        <f t="shared" si="69"/>
        <v/>
      </c>
      <c r="Q827" s="128" t="str">
        <f t="shared" si="70"/>
        <v/>
      </c>
      <c r="R827" s="128" t="str">
        <f t="shared" si="71"/>
        <v/>
      </c>
      <c r="T827" s="99">
        <v>0</v>
      </c>
      <c r="U827" s="99">
        <v>0</v>
      </c>
      <c r="V827" s="99">
        <v>0</v>
      </c>
    </row>
    <row r="828" spans="1:23" x14ac:dyDescent="0.3">
      <c r="A828" s="4">
        <v>2085</v>
      </c>
      <c r="B828">
        <v>-34.4</v>
      </c>
      <c r="C828">
        <v>-34.200000000000003</v>
      </c>
      <c r="D828">
        <v>-33.6</v>
      </c>
      <c r="H828">
        <v>-34.700000000000003</v>
      </c>
      <c r="J828" s="40" t="s">
        <v>18</v>
      </c>
      <c r="L828" s="32">
        <v>33.6</v>
      </c>
      <c r="M828" s="32">
        <v>0.60000000000000142</v>
      </c>
      <c r="N828" s="32">
        <v>0.19999999999999574</v>
      </c>
      <c r="O828" s="32">
        <v>0.69999999999999574</v>
      </c>
      <c r="P828" s="128" t="str">
        <f t="shared" si="69"/>
        <v/>
      </c>
      <c r="Q828" s="128" t="str">
        <f t="shared" si="70"/>
        <v/>
      </c>
      <c r="R828" s="128" t="str">
        <f t="shared" si="71"/>
        <v/>
      </c>
      <c r="T828" s="99">
        <v>0</v>
      </c>
      <c r="U828" s="99">
        <v>0</v>
      </c>
      <c r="V828" s="99">
        <v>0</v>
      </c>
    </row>
    <row r="829" spans="1:23" x14ac:dyDescent="0.3">
      <c r="A829" s="4">
        <v>2086</v>
      </c>
      <c r="B829">
        <v>-34.799999999999997</v>
      </c>
      <c r="C829">
        <v>-34.6</v>
      </c>
      <c r="D829">
        <v>-33.6</v>
      </c>
      <c r="H829">
        <v>-34.1</v>
      </c>
      <c r="J829" s="40" t="s">
        <v>18</v>
      </c>
      <c r="L829" s="32">
        <v>33.6</v>
      </c>
      <c r="M829" s="32">
        <v>1</v>
      </c>
      <c r="N829" s="32">
        <v>0.19999999999999574</v>
      </c>
      <c r="O829" s="32">
        <v>1.1000000000000014</v>
      </c>
      <c r="P829" s="128" t="str">
        <f t="shared" si="69"/>
        <v/>
      </c>
      <c r="Q829" s="128" t="str">
        <f t="shared" si="70"/>
        <v/>
      </c>
      <c r="R829" s="128" t="str">
        <f t="shared" si="71"/>
        <v/>
      </c>
      <c r="T829" s="99">
        <v>0</v>
      </c>
      <c r="U829" s="99">
        <v>0</v>
      </c>
      <c r="V829" s="99">
        <v>0</v>
      </c>
    </row>
    <row r="830" spans="1:23" x14ac:dyDescent="0.3">
      <c r="A830" s="4">
        <v>2087</v>
      </c>
      <c r="B830">
        <v>-32.9</v>
      </c>
      <c r="C830">
        <v>-32.9</v>
      </c>
      <c r="D830">
        <v>-32.299999999999997</v>
      </c>
      <c r="H830">
        <v>-32.9</v>
      </c>
      <c r="J830" s="40" t="s">
        <v>18</v>
      </c>
      <c r="L830" s="32">
        <v>32.299999999999997</v>
      </c>
      <c r="M830" s="32">
        <v>0.60000000000000142</v>
      </c>
      <c r="N830" s="32">
        <v>0</v>
      </c>
      <c r="O830" s="32">
        <v>0.60000000000000142</v>
      </c>
      <c r="P830" s="128" t="str">
        <f t="shared" si="69"/>
        <v/>
      </c>
      <c r="Q830" s="128" t="str">
        <f t="shared" si="70"/>
        <v/>
      </c>
      <c r="R830" s="128" t="str">
        <f t="shared" si="71"/>
        <v/>
      </c>
      <c r="T830" s="99">
        <v>1</v>
      </c>
      <c r="U830" s="99">
        <v>1</v>
      </c>
      <c r="V830" s="99">
        <v>1</v>
      </c>
    </row>
    <row r="831" spans="1:23" x14ac:dyDescent="0.3">
      <c r="A831" s="4">
        <v>2088</v>
      </c>
      <c r="B831">
        <v>-33.9</v>
      </c>
      <c r="C831">
        <v>-33.1</v>
      </c>
      <c r="D831">
        <v>-34.9</v>
      </c>
      <c r="H831">
        <v>-34.299999999999997</v>
      </c>
      <c r="J831" s="40" t="s">
        <v>18</v>
      </c>
      <c r="L831" s="32">
        <v>34.9</v>
      </c>
      <c r="M831" s="32">
        <v>-1.7999999999999972</v>
      </c>
      <c r="N831" s="32">
        <v>0.79999999999999716</v>
      </c>
      <c r="O831" s="32">
        <v>-1.3999999999999986</v>
      </c>
      <c r="P831" s="128" t="str">
        <f t="shared" si="69"/>
        <v/>
      </c>
      <c r="Q831" s="128" t="str">
        <f t="shared" si="70"/>
        <v/>
      </c>
      <c r="R831" s="128" t="str">
        <f t="shared" si="71"/>
        <v/>
      </c>
      <c r="T831" s="99">
        <v>0</v>
      </c>
      <c r="U831" s="99">
        <v>0</v>
      </c>
      <c r="V831" s="99">
        <v>0</v>
      </c>
    </row>
    <row r="832" spans="1:23" x14ac:dyDescent="0.3">
      <c r="A832" s="4">
        <v>2089</v>
      </c>
      <c r="B832">
        <v>-34</v>
      </c>
      <c r="C832">
        <v>-33.299999999999997</v>
      </c>
      <c r="D832" t="str">
        <f>IF(AND(ISBLANK(F832),ISBLANK(G832)),"",IF(ISBLANK(F832),G832,IF(ISBLANK(G832),F832,(G832+F832)/2)))</f>
        <v/>
      </c>
      <c r="H832">
        <v>-33.700000000000003</v>
      </c>
      <c r="J832" s="40" t="s">
        <v>18</v>
      </c>
      <c r="L832" s="32" t="e">
        <v>#VALUE!</v>
      </c>
      <c r="M832" s="32" t="e">
        <v>#VALUE!</v>
      </c>
      <c r="N832" s="32">
        <v>0.70000000000000284</v>
      </c>
      <c r="O832" s="32" t="e">
        <v>#DIV/0!</v>
      </c>
      <c r="P832" s="128" t="str">
        <f t="shared" si="69"/>
        <v/>
      </c>
      <c r="Q832" s="128" t="str">
        <f t="shared" si="70"/>
        <v/>
      </c>
      <c r="R832" s="128" t="str">
        <f t="shared" si="71"/>
        <v/>
      </c>
      <c r="T832" s="99">
        <v>0</v>
      </c>
      <c r="U832" s="99">
        <v>0</v>
      </c>
      <c r="V832" s="99">
        <v>0</v>
      </c>
    </row>
    <row r="833" spans="1:23" x14ac:dyDescent="0.3">
      <c r="A833" s="4">
        <v>2090</v>
      </c>
      <c r="B833">
        <v>-34.4</v>
      </c>
      <c r="C833">
        <v>-33.299999999999997</v>
      </c>
      <c r="D833">
        <v>-32.4</v>
      </c>
      <c r="H833">
        <v>-34</v>
      </c>
      <c r="J833" s="40" t="s">
        <v>18</v>
      </c>
      <c r="L833" s="32">
        <v>32.4</v>
      </c>
      <c r="M833" s="32">
        <v>0.89999999999999858</v>
      </c>
      <c r="N833" s="32">
        <v>1.1000000000000014</v>
      </c>
      <c r="O833" s="32">
        <v>1.4499999999999957</v>
      </c>
      <c r="P833" s="128" t="str">
        <f t="shared" si="69"/>
        <v/>
      </c>
      <c r="Q833" s="128" t="str">
        <f t="shared" si="70"/>
        <v/>
      </c>
      <c r="R833" s="128" t="str">
        <f t="shared" si="71"/>
        <v/>
      </c>
      <c r="T833" s="99">
        <v>0</v>
      </c>
      <c r="U833" s="99">
        <v>0</v>
      </c>
      <c r="V833" s="99">
        <v>0</v>
      </c>
    </row>
    <row r="834" spans="1:23" x14ac:dyDescent="0.3">
      <c r="A834" s="4">
        <v>2091</v>
      </c>
      <c r="B834">
        <v>-36</v>
      </c>
      <c r="C834">
        <v>-34.799999999999997</v>
      </c>
      <c r="D834">
        <v>-34.700000000000003</v>
      </c>
      <c r="E834">
        <v>-34.6</v>
      </c>
      <c r="H834">
        <v>-35.5</v>
      </c>
      <c r="J834" s="40" t="s">
        <v>18</v>
      </c>
      <c r="L834" s="32">
        <v>0.10000000000000142</v>
      </c>
      <c r="M834" s="32">
        <v>9.9999999999994316E-2</v>
      </c>
      <c r="N834" s="32">
        <v>1.2000000000000028</v>
      </c>
      <c r="O834" s="32">
        <v>0.74999999999999289</v>
      </c>
      <c r="P834" s="128">
        <f t="shared" si="69"/>
        <v>1.2999999999999972</v>
      </c>
      <c r="Q834" s="128">
        <f t="shared" si="70"/>
        <v>9.9999999999994316E-2</v>
      </c>
      <c r="R834" s="128">
        <f t="shared" si="71"/>
        <v>0.69999999999999574</v>
      </c>
      <c r="S834" s="98">
        <v>0</v>
      </c>
      <c r="T834" s="99">
        <v>0</v>
      </c>
      <c r="U834" s="99">
        <v>0</v>
      </c>
      <c r="V834" s="99">
        <v>0</v>
      </c>
      <c r="W834" s="99">
        <v>0</v>
      </c>
    </row>
  </sheetData>
  <conditionalFormatting sqref="C586:C591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paperSize="12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Анастасия Лекомцева</cp:lastModifiedBy>
  <dcterms:created xsi:type="dcterms:W3CDTF">2025-09-02T14:19:42Z</dcterms:created>
  <dcterms:modified xsi:type="dcterms:W3CDTF">2026-03-28T11:51:45Z</dcterms:modified>
</cp:coreProperties>
</file>